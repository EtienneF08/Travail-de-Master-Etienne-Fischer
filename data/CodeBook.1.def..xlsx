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tiennefischer/Travail-de-Master-Etienne-Fischer/data/"/>
    </mc:Choice>
  </mc:AlternateContent>
  <xr:revisionPtr revIDLastSave="0" documentId="13_ncr:1_{5B460359-C217-4848-97BC-8F94FD2AD62C}" xr6:coauthVersionLast="47" xr6:coauthVersionMax="47" xr10:uidLastSave="{00000000-0000-0000-0000-000000000000}"/>
  <bookViews>
    <workbookView xWindow="0" yWindow="580" windowWidth="25600" windowHeight="16060" xr2:uid="{00000000-000D-0000-FFFF-FFFF00000000}"/>
  </bookViews>
  <sheets>
    <sheet name="Extraction" sheetId="2" r:id="rId1"/>
    <sheet name="CodeBook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<sst xmlns="http://schemas.openxmlformats.org/spreadsheetml/2006/main" count="829" uniqueCount="312">
  <si>
    <t>Title</t>
  </si>
  <si>
    <t>Study</t>
  </si>
  <si>
    <t>doi</t>
  </si>
  <si>
    <t>journal</t>
  </si>
  <si>
    <t>email_author</t>
  </si>
  <si>
    <t>affiliation</t>
  </si>
  <si>
    <t>year</t>
  </si>
  <si>
    <t>region</t>
  </si>
  <si>
    <t>period</t>
  </si>
  <si>
    <t>design</t>
  </si>
  <si>
    <t>arm</t>
  </si>
  <si>
    <t>n_enrolled</t>
  </si>
  <si>
    <t>n_treated</t>
  </si>
  <si>
    <t>survival_analysis</t>
  </si>
  <si>
    <t>survival_time_origin</t>
  </si>
  <si>
    <t>n_LR_ITT</t>
  </si>
  <si>
    <t>n_resected</t>
  </si>
  <si>
    <t>neoadjuvant_protocol_LR</t>
  </si>
  <si>
    <t>tumor_size_mm_LR</t>
  </si>
  <si>
    <t>node_status_LR</t>
  </si>
  <si>
    <t>vascular_resection_LR</t>
  </si>
  <si>
    <t>resection_status_LR_R1</t>
  </si>
  <si>
    <t>os_1yr_perc_LR</t>
  </si>
  <si>
    <t>os_3yr_perc_LR</t>
  </si>
  <si>
    <t>os_5yr_perc_LR</t>
  </si>
  <si>
    <t>rfs_1yr_perc_LR</t>
  </si>
  <si>
    <t>rfs_3yr_perc_LR</t>
  </si>
  <si>
    <t>rfs_5yr_perc_LR</t>
  </si>
  <si>
    <t>mortality_30d_perc_LR</t>
  </si>
  <si>
    <t>morbidity_major_perc_LR</t>
  </si>
  <si>
    <t>age_mean_LR</t>
  </si>
  <si>
    <t>male_percent_LR</t>
  </si>
  <si>
    <t>concomitant_PSC_LR</t>
  </si>
  <si>
    <t>tumor_form_LR</t>
  </si>
  <si>
    <t>bile_duct_invasion_LR</t>
  </si>
  <si>
    <t>portal_vein_inv_LR</t>
  </si>
  <si>
    <t>CEA_level_LR</t>
  </si>
  <si>
    <t>ca19_9_level_LR</t>
  </si>
  <si>
    <t>liver_remnant_vol_LR</t>
  </si>
  <si>
    <t>op_time_min_LR</t>
  </si>
  <si>
    <t>hospital_stay_days_LR</t>
  </si>
  <si>
    <t>n_LT_ITT</t>
  </si>
  <si>
    <t>n_transplated</t>
  </si>
  <si>
    <t>neoadjuvant_protocol_LT</t>
  </si>
  <si>
    <t>tumor_size_mm_LT</t>
  </si>
  <si>
    <t>node_status_LT</t>
  </si>
  <si>
    <t>resection_status_LT_R1</t>
  </si>
  <si>
    <t>Dropout_rate</t>
  </si>
  <si>
    <t>os_1yr_perc_LT</t>
  </si>
  <si>
    <t>os_3yr_perc_LT</t>
  </si>
  <si>
    <t>os_5yr_perc_LT</t>
  </si>
  <si>
    <t>rfs_1yr_perc_LT</t>
  </si>
  <si>
    <t>rfs_3yr_perc_LT</t>
  </si>
  <si>
    <t>rfs_5yr_perc_LT</t>
  </si>
  <si>
    <t>mortality_30d_perc_LT</t>
  </si>
  <si>
    <t>morbidity_major_perc_LT</t>
  </si>
  <si>
    <t>donor_type_LT</t>
  </si>
  <si>
    <t>age_mean_LT</t>
  </si>
  <si>
    <t>male_percent_LT</t>
  </si>
  <si>
    <t>concomitant_disease_LT</t>
  </si>
  <si>
    <t>tumor_form_LT</t>
  </si>
  <si>
    <t>bile_duct_invasion_LT</t>
  </si>
  <si>
    <t>portal_vein_inv_LT</t>
  </si>
  <si>
    <t>CEA_level_LT</t>
  </si>
  <si>
    <t>ca19_9_level_LT</t>
  </si>
  <si>
    <t>op_time_min_LT</t>
  </si>
  <si>
    <t>hospital_stay_days_LT</t>
  </si>
  <si>
    <t>hr_os</t>
  </si>
  <si>
    <t>hr_rfs</t>
  </si>
  <si>
    <t>km_curve_os_available</t>
  </si>
  <si>
    <t>km_curve_rfs_available</t>
  </si>
  <si>
    <t>Comments</t>
  </si>
  <si>
    <t>Mandatory?</t>
  </si>
  <si>
    <t>YES</t>
  </si>
  <si>
    <t>NO</t>
  </si>
  <si>
    <t>Data</t>
  </si>
  <si>
    <t>Comparing survival and recurrence in hilar cholangiocarcinoma patients after orthotropic liver transplantation or anatomical resection</t>
  </si>
  <si>
    <t>A.Giuseppuci</t>
  </si>
  <si>
    <t>https://doi.org/10.1016/j.hpb.2026.04.108</t>
  </si>
  <si>
    <t>AHPBA</t>
  </si>
  <si>
    <t>Cleveland Clinic Foundation</t>
  </si>
  <si>
    <t>North America</t>
  </si>
  <si>
    <t>2015-2024</t>
  </si>
  <si>
    <t xml:space="preserve">Rétrospective </t>
  </si>
  <si>
    <t>LT VS High risk résection or Low risk resection</t>
  </si>
  <si>
    <t>As-treated</t>
  </si>
  <si>
    <t>Surgery</t>
  </si>
  <si>
    <t>NA</t>
  </si>
  <si>
    <t>Outcomes of liver transplantation versus partial hepatectomy for patient with perihilar cholangiocarcinoma requiring hepatic artery reconstruction</t>
  </si>
  <si>
    <t>E.Poletto</t>
  </si>
  <si>
    <t>https://doi.org/10.1111/liv.70729</t>
  </si>
  <si>
    <t>Liver International</t>
  </si>
  <si>
    <t>University of Verona</t>
  </si>
  <si>
    <t>Multiregional</t>
  </si>
  <si>
    <t>2000-2020</t>
  </si>
  <si>
    <t>Rétroscpective(Multicenter)</t>
  </si>
  <si>
    <t xml:space="preserve">As-treated </t>
  </si>
  <si>
    <t>1-2=11.7%; 3a=18.3%; 3b=31.7%; 4=38.3%</t>
  </si>
  <si>
    <t>NACR</t>
  </si>
  <si>
    <t>1-2=10%; 3a=14.3%; 3b=16.3%; 4=69.4%</t>
  </si>
  <si>
    <t>18% &gt;R1; 27/49 used NACR</t>
  </si>
  <si>
    <t>Surgery for hilar cholangiocarcinoma: The Leeds experience</t>
  </si>
  <si>
    <t>E.Hidalgo</t>
  </si>
  <si>
    <t>10.1016/j.ejso.2007.10.005</t>
  </si>
  <si>
    <t>EJSO</t>
  </si>
  <si>
    <t>St James's University Hospital</t>
  </si>
  <si>
    <t>Europe</t>
  </si>
  <si>
    <t>1993-2003</t>
  </si>
  <si>
    <t>Rétroscpective(single center)</t>
  </si>
  <si>
    <t>36,7</t>
  </si>
  <si>
    <t>Transplantation versus resecrtion for Hilar Cholangiocarcinoma: An argument for shifting Treatment paradigms for resecable Diseas</t>
  </si>
  <si>
    <t>Ethnun CG.</t>
  </si>
  <si>
    <t>10.1097/SLA.0000000000002574</t>
  </si>
  <si>
    <t>Ann. Surg.</t>
  </si>
  <si>
    <t>Emory University</t>
  </si>
  <si>
    <t>2000-2015</t>
  </si>
  <si>
    <t>As-treated and ITT</t>
  </si>
  <si>
    <t>Protocol initiation</t>
  </si>
  <si>
    <t>NCT=5%; NAT=3%</t>
  </si>
  <si>
    <t>1-2=18%; 3=61%; 4=21%</t>
  </si>
  <si>
    <t>Mayo-Protocol</t>
  </si>
  <si>
    <t>1-2=70%; 3=9%; 4=23%</t>
  </si>
  <si>
    <t>Surgical Strategies for De Novo Perihilar Cholangiocarcinoma: Comparing Outcomes of Liver Resection with and without Vascular Resection to Transplantation</t>
  </si>
  <si>
    <t>Y.Dong</t>
  </si>
  <si>
    <t>https://doi.org/10.1097/hep.0000000000001449</t>
  </si>
  <si>
    <t>Hepatology</t>
  </si>
  <si>
    <t>Mayo Clinic Rochseter</t>
  </si>
  <si>
    <t>1993-2023</t>
  </si>
  <si>
    <t>LT (RT+LT) vs LR avec résection vasculaire (LR+VR) ou sans (LR w/o VR)</t>
  </si>
  <si>
    <t> Liver Transplantation as a New Standard of Care in Patients With Perihilar Cholangiocarcinoma? Results From an International Benchmark Study</t>
  </si>
  <si>
    <t>E.Breuer</t>
  </si>
  <si>
    <t>https://doi.org/10.1097/sla.0000000000005641</t>
  </si>
  <si>
    <t>2014-2018</t>
  </si>
  <si>
    <t>/</t>
  </si>
  <si>
    <t>Mayo-Like</t>
  </si>
  <si>
    <t>Is Liver Transplantation Appropriate for Patients with Potentially Resectable De Novo Hilar Cholangiocarcinoma?</t>
  </si>
  <si>
    <t>P.Croome</t>
  </si>
  <si>
    <t xml:space="preserve">https://doi.org/10.1016/j.jamcollsurg.2015.01.064 </t>
  </si>
  <si>
    <t>Jammcollsurg</t>
  </si>
  <si>
    <t>Mayo Clinic Florida</t>
  </si>
  <si>
    <t>1993-2013</t>
  </si>
  <si>
    <t>Retrospective (single center)</t>
  </si>
  <si>
    <t>Treatment of Hilar Cholangiocarcinoma (Klatskin Tumors) with Hepatic Resection or Transplantation</t>
  </si>
  <si>
    <t>S.Iwatsuki</t>
  </si>
  <si>
    <t xml:space="preserve">https://doi.org/10.1016/s1072-7515(98)00207-5 </t>
  </si>
  <si>
    <t>University of Pittsburgh Medical Center</t>
  </si>
  <si>
    <t>1981-1996</t>
  </si>
  <si>
    <t>Rétroscpective</t>
  </si>
  <si>
    <t>Retrospective</t>
  </si>
  <si>
    <t>El trasplante hepático aumenta la resecabilidad R0 y la supervivencia de los pacientes con tumor de Klatskin irresecable no diseminado</t>
  </si>
  <si>
    <t>R.Robles</t>
  </si>
  <si>
    <t xml:space="preserve">https://doi.org/10.1016/j.ciresp.2009.11.005 </t>
  </si>
  <si>
    <t>Cirugía Española</t>
  </si>
  <si>
    <t>Murcia, Spain</t>
  </si>
  <si>
    <t>1-2=17.2%; 3=58.6%; 4=24%%</t>
  </si>
  <si>
    <t>1=9%; 2=91%</t>
  </si>
  <si>
    <t>Surgical treatment in proximal bile duct cancer - A single-center experience</t>
  </si>
  <si>
    <t>R.Pichlmayr</t>
  </si>
  <si>
    <t xml:space="preserve">https://doi.org/10.1097/00000658-199611000-00007 </t>
  </si>
  <si>
    <t>Hannover</t>
  </si>
  <si>
    <t>1975-1993</t>
  </si>
  <si>
    <t>Variable</t>
  </si>
  <si>
    <t>Explanation</t>
  </si>
  <si>
    <t>Options (Examples)</t>
  </si>
  <si>
    <t>study</t>
  </si>
  <si>
    <t>First Author of Study</t>
  </si>
  <si>
    <t>Moeckli et al.</t>
  </si>
  <si>
    <t>title</t>
  </si>
  <si>
    <t>Study title</t>
  </si>
  <si>
    <t xml:space="preserve">Intention-to-Treat Outcomes After Liver Resection and Liver Transplantation for Perihilar Cholangiocarcinoma: A Reconstructed Individual Patient Data Meta-Analysis. </t>
  </si>
  <si>
    <t>DOI</t>
  </si>
  <si>
    <t>Official Journal Abbreviation</t>
  </si>
  <si>
    <t>Databse journal abbreviation</t>
  </si>
  <si>
    <t>Email of the corresponding author</t>
  </si>
  <si>
    <t>Affiliation of the first author</t>
  </si>
  <si>
    <t>For example: Hôpitaux Universitaires de Genève</t>
  </si>
  <si>
    <t>Year of Publication of Study</t>
  </si>
  <si>
    <t>2020, 2021, 2022</t>
  </si>
  <si>
    <t>Geographical region where the patients were treated, based on the study centres</t>
  </si>
  <si>
    <t>Europe, North America, Asia, Other, Multiregional, Not reported</t>
  </si>
  <si>
    <t>Period during which patients were enrolled or treated at the study centres</t>
  </si>
  <si>
    <t>For example: 2005-20012</t>
  </si>
  <si>
    <t>Study design as describ by the authors or determined from the methods if not explicited</t>
  </si>
  <si>
    <t>Randomized controll trial,non-Randomized controll trial, prospective cohort, retrospective cohort</t>
  </si>
  <si>
    <t>Does the study include both LT and LR groups</t>
  </si>
  <si>
    <t>Yes or No</t>
  </si>
  <si>
    <t>Total number of patients enrolled in the study</t>
  </si>
  <si>
    <t>N=</t>
  </si>
  <si>
    <t>Total number of patients who actually undergo surgery</t>
  </si>
  <si>
    <t>Population type for survival analysis</t>
  </si>
  <si>
    <t>ITT; as-treated; per protocol; other; Not reported</t>
  </si>
  <si>
    <t>Starting point used to calculate survival time</t>
  </si>
  <si>
    <t>Diagnostic; Study enrollement; neoadjuvent treatment; Surgery; Other; Not reported</t>
  </si>
  <si>
    <t>Number of patients assigned to the LR arm strategy, including those who did not undergo surgery</t>
  </si>
  <si>
    <t xml:space="preserve">Number of patients who underwent LR </t>
  </si>
  <si>
    <t>Neoadjuvant treatment received by patients in their treatment group before surgery</t>
  </si>
  <si>
    <t>Treatment, None, Not reported</t>
  </si>
  <si>
    <t>tumor_size_cm_LR</t>
  </si>
  <si>
    <t xml:space="preserve">Mean tumor size in the LR group, as reported by the study, in milimetres </t>
  </si>
  <si>
    <t>MTS_LR= 12mm</t>
  </si>
  <si>
    <t>Node status before surgery</t>
  </si>
  <si>
    <t xml:space="preserve"> N+ %</t>
  </si>
  <si>
    <t>Number of patient in the LR group who underwent vasculare resection</t>
  </si>
  <si>
    <t>resection_status_LR</t>
  </si>
  <si>
    <t>Resection status after surgery</t>
  </si>
  <si>
    <t>R1%</t>
  </si>
  <si>
    <t>1-year overall survival among patient who underwent LR strategy</t>
  </si>
  <si>
    <t>Overall survival rate in %</t>
  </si>
  <si>
    <t>3-year overall survival among patient who underwent LR strategy</t>
  </si>
  <si>
    <t>5-year overall survival among patient who underwent LR strategy</t>
  </si>
  <si>
    <t>1-year Recurrence-Free survival among patient who underwent LR strategy</t>
  </si>
  <si>
    <t>Recurrence-Free rate in %</t>
  </si>
  <si>
    <t>3-year Recurrence-Free survival among patient who underwent LR strategy</t>
  </si>
  <si>
    <t>5-year Recurrence-Free survival among patient who underwent LR strategy</t>
  </si>
  <si>
    <t>Number of deaths within the first 30 days after LR</t>
  </si>
  <si>
    <t>Number of resected patients with at least one major post-opérative complication (Clavien-Dindo ≥ IIIa)</t>
  </si>
  <si>
    <t>Major post-opérative complication rate in %</t>
  </si>
  <si>
    <t>Mean age of patients in the LR group</t>
  </si>
  <si>
    <t>In years</t>
  </si>
  <si>
    <t>Percentage of male in the LR group</t>
  </si>
  <si>
    <t>Ratio of men in %</t>
  </si>
  <si>
    <t>concomitant_disease_LR</t>
  </si>
  <si>
    <t>Number of patient with a concomitant disease in LR  group</t>
  </si>
  <si>
    <t>Primary sclerosing cholangitis; Other; None; Not reported</t>
  </si>
  <si>
    <t>Macroscopic pattern of the perihilar cholangiocarcinoma, as reported in the study for the LR group</t>
  </si>
  <si>
    <t>Periductal; Intraductal; Mixed; Not reported</t>
  </si>
  <si>
    <t>Bismuth-Corlette type in LR group</t>
  </si>
  <si>
    <t>Type 1,2, 3a,3b,4</t>
  </si>
  <si>
    <t>Number of patient with portal veine invasion in LR group</t>
  </si>
  <si>
    <t>afp_level_LR</t>
  </si>
  <si>
    <t>Alpha feoto protein (AFP) level before LR</t>
  </si>
  <si>
    <t>AFP [ug/L]</t>
  </si>
  <si>
    <t>CA19_9 level in LR group</t>
  </si>
  <si>
    <t>U/ml</t>
  </si>
  <si>
    <t>Estimated future liver remnant volume before LR</t>
  </si>
  <si>
    <t>In % of total liver volume</t>
  </si>
  <si>
    <t>Duration of the surgical procedure in LR group</t>
  </si>
  <si>
    <t>In minutes</t>
  </si>
  <si>
    <t>Duration of hospital stay after resection</t>
  </si>
  <si>
    <t>In days</t>
  </si>
  <si>
    <t>Number of patients who underwent LT</t>
  </si>
  <si>
    <t>Neoadjuvant treatment received by patients in their treatment group before transplantation</t>
  </si>
  <si>
    <t>Mayo protocol, Mayo-like protocol, Other, None, Not reported</t>
  </si>
  <si>
    <t>tumor_size_cm_LT</t>
  </si>
  <si>
    <t xml:space="preserve">Mean tumor size in the LT group, as reported by the study, in milimetres </t>
  </si>
  <si>
    <t>MTS_LT=2.6cm</t>
  </si>
  <si>
    <t>Node status before transplantation</t>
  </si>
  <si>
    <t>N0 vs N+</t>
  </si>
  <si>
    <t>resection_status_LT</t>
  </si>
  <si>
    <t>Resection status after transplantation</t>
  </si>
  <si>
    <t>Percenatge of patients who started the transplant protocol but did not underwent surgery</t>
  </si>
  <si>
    <t>Dropout rate in %</t>
  </si>
  <si>
    <t>1-year overall survival among patient who underwent LT strategy</t>
  </si>
  <si>
    <t>3-year overall survival among patient who underwent LT strategy</t>
  </si>
  <si>
    <t>5-year overall survival among patient who underwent LT strategy</t>
  </si>
  <si>
    <t>Percentage of deaths within the first 30 days after LT</t>
  </si>
  <si>
    <t>%</t>
  </si>
  <si>
    <t>Number of transplanted patients with at least one major post-opérative complication (Clavien-Dindo ≥ IIIa)</t>
  </si>
  <si>
    <t>donor_type_lT</t>
  </si>
  <si>
    <t>Type of donor used for LT</t>
  </si>
  <si>
    <t>Deceased donor (DDLT); Livig donor (LDLT); Mixed; Not reported</t>
  </si>
  <si>
    <t>Mean age of patients in the LT group</t>
  </si>
  <si>
    <t>Percentage of male in the LT group</t>
  </si>
  <si>
    <t>Number of patient with a concomitant disease in LT  group</t>
  </si>
  <si>
    <t>Bismuth-Corlette type in LT group</t>
  </si>
  <si>
    <t>Number of patient with portal veine invasion in LT group</t>
  </si>
  <si>
    <t>Alpha feoto protein (AFP) level before LT</t>
  </si>
  <si>
    <t>CA19_9 level in LT group</t>
  </si>
  <si>
    <t>Hazard ratio for overall survivall comparing LT with LR</t>
  </si>
  <si>
    <t>HR=1,22 ; IC95%= (1,02-1,45) ; p=0,02</t>
  </si>
  <si>
    <t>Hazard ratio for recurrence free survivall comparing LT with LR</t>
  </si>
  <si>
    <t>km_curve_os_avail</t>
  </si>
  <si>
    <t>km_curve_rfs_avail</t>
  </si>
  <si>
    <t>Surgery for LR and Protocol initation for LT</t>
  </si>
  <si>
    <t>Swiss HPB Center, Zurich</t>
  </si>
  <si>
    <t>Retrospective cohort (multicentre benchmark study)</t>
  </si>
  <si>
    <t>4=100%</t>
  </si>
  <si>
    <t>DBD= 61%; ECD= 8%; LDLT=30%</t>
  </si>
  <si>
    <t>3=59.6%;4=40.6%</t>
  </si>
  <si>
    <t>DDLT=67%; LDLT=33%</t>
  </si>
  <si>
    <t>Kaplan-Meier overall survival curves available for both LT and LR groups for ITT</t>
  </si>
  <si>
    <t>RT+/- 5-FU</t>
  </si>
  <si>
    <t>RT +/- 5-FU</t>
  </si>
  <si>
    <t>1988-2008</t>
  </si>
  <si>
    <t>os_1yr_perc_LR_ITT</t>
  </si>
  <si>
    <t>os_3yr_perc_LR_ITT</t>
  </si>
  <si>
    <t>os_5yr_perc_LR_ITT</t>
  </si>
  <si>
    <t>rfs_5yr_perc_LR_AT</t>
  </si>
  <si>
    <t>rfs_3yr_perc_LR_AT</t>
  </si>
  <si>
    <t>rfs_1yr_perc_LR_AT</t>
  </si>
  <si>
    <t>os_5yr_perc_LR_AT</t>
  </si>
  <si>
    <t>os_3yr_perc_LR_AT</t>
  </si>
  <si>
    <t>os_1yr_perc_LR_AT</t>
  </si>
  <si>
    <t>os_1yr_perc_LT_AT</t>
  </si>
  <si>
    <t>os_3yr_perc_LT_AT</t>
  </si>
  <si>
    <t>os_5yr_perc_LT_AT</t>
  </si>
  <si>
    <t>rfs_1yr_perc_LT_AT</t>
  </si>
  <si>
    <t>rfs_3yr_perc_LT_AT</t>
  </si>
  <si>
    <t>rfs_5yr_perc_LT_AT</t>
  </si>
  <si>
    <t>os_1yr_perc_LT_ITT</t>
  </si>
  <si>
    <t>os_3yr_perc_LT_ITT</t>
  </si>
  <si>
    <t>os_5yr_perc_LT_ITT</t>
  </si>
  <si>
    <t>OS in KM curves</t>
  </si>
  <si>
    <t>We have Lymphovasc invasion. OS are ITT %, but mortality and morbity are As-treated. NO RFS</t>
  </si>
  <si>
    <t>RFS in AT, OS in AT and ITT, on KM curves.</t>
  </si>
  <si>
    <t>RT + 5-FU; None</t>
  </si>
  <si>
    <t>None</t>
  </si>
  <si>
    <t>4% R2</t>
  </si>
  <si>
    <t>OS and RFS extracted with KM curves =&gt;</t>
  </si>
  <si>
    <t>1-2=7.73%; 3a=42.5%;3b=42%;4=7.73%</t>
  </si>
  <si>
    <t>1 year HR: 0.63 (0.25-1.59), p= 0.32
3 years HR: 0.48 (0.26-0.92), p=0.026
5 years HR: 0.52 (0.29-0.96), p=0.035</t>
  </si>
  <si>
    <t>1-year HR: 0.67 (0.32-1.41), p=0.29
3-years HR: 0.68 (0.38-1.23), p=0.20
5-years HR: 0.68 (0.40-1.17), p=0.17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</si>
</sst>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rgb="FFFFFFFF"/>
      <name val="Courier New"/>
      <family val="1"/>
    </font>
    <font>
      <b/>
      <sz val="11"/>
      <color rgb="FF000000"/>
      <name val="Courier New"/>
      <family val="1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ourier New"/>
      <family val="1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18"/>
      <scheme val="minor"/>
    </font>
    <font>
      <sz val="10"/>
      <color rgb="FF000000"/>
      <name val="Times New Roman"/>
      <family val="1"/>
    </font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rgb="FF1F4E78"/>
      </patternFill>
    </fill>
    <fill>
      <patternFill patternType="solid">
        <fgColor theme="4" tint="0.59999389629810485"/>
        <bgColor rgb="FF1F4E78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rgb="FFD9E1F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rgb="FF1F4E78"/>
      </patternFill>
    </fill>
    <fill>
      <patternFill patternType="solid">
        <fgColor theme="5" tint="0.59999389629810485"/>
        <bgColor rgb="FFD9E1F2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9" fontId="13" fillId="0" borderId="0" applyFont="0" applyFill="0" applyBorder="0" applyAlignment="0" applyProtection="0"/>
  </cellStyleXfs>
  <cellXfs count="7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3" xfId="0" applyBorder="1" applyAlignment="1">
      <alignment horizontal="left"/>
    </xf>
    <xf numFmtId="0" fontId="6" fillId="3" borderId="5" xfId="0" applyFont="1" applyFill="1" applyBorder="1" applyAlignment="1">
      <alignment horizontal="left" vertical="center" wrapText="1"/>
    </xf>
    <xf numFmtId="0" fontId="6" fillId="3" borderId="8" xfId="0" applyFont="1" applyFill="1" applyBorder="1" applyAlignment="1">
      <alignment horizontal="left" vertical="center" wrapText="1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6" fillId="4" borderId="5" xfId="0" applyFont="1" applyFill="1" applyBorder="1" applyAlignment="1">
      <alignment horizontal="left" vertical="center" wrapText="1"/>
    </xf>
    <xf numFmtId="0" fontId="6" fillId="4" borderId="8" xfId="0" applyFont="1" applyFill="1" applyBorder="1" applyAlignment="1">
      <alignment horizontal="left" vertical="center" wrapText="1"/>
    </xf>
    <xf numFmtId="0" fontId="6" fillId="4" borderId="10" xfId="0" applyFont="1" applyFill="1" applyBorder="1" applyAlignment="1">
      <alignment horizontal="left" vertical="center" wrapText="1"/>
    </xf>
    <xf numFmtId="0" fontId="6" fillId="4" borderId="13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/>
    </xf>
    <xf numFmtId="0" fontId="7" fillId="2" borderId="15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left" vertical="center" wrapText="1"/>
    </xf>
    <xf numFmtId="0" fontId="2" fillId="6" borderId="13" xfId="0" applyFont="1" applyFill="1" applyBorder="1" applyAlignment="1">
      <alignment horizontal="left" vertical="center" wrapText="1"/>
    </xf>
    <xf numFmtId="0" fontId="0" fillId="0" borderId="9" xfId="0" applyBorder="1" applyAlignment="1">
      <alignment vertical="center"/>
    </xf>
    <xf numFmtId="0" fontId="2" fillId="6" borderId="10" xfId="0" applyFont="1" applyFill="1" applyBorder="1" applyAlignment="1">
      <alignment horizontal="left" vertical="center" wrapText="1"/>
    </xf>
    <xf numFmtId="0" fontId="0" fillId="0" borderId="9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4" xfId="0" applyBorder="1" applyAlignment="1">
      <alignment horizontal="left"/>
    </xf>
    <xf numFmtId="0" fontId="5" fillId="0" borderId="9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0" fillId="0" borderId="18" xfId="0" applyBorder="1" applyAlignment="1">
      <alignment horizontal="left"/>
    </xf>
    <xf numFmtId="0" fontId="6" fillId="10" borderId="5" xfId="0" applyFont="1" applyFill="1" applyBorder="1" applyAlignment="1">
      <alignment horizontal="left" vertical="center" wrapText="1"/>
    </xf>
    <xf numFmtId="0" fontId="6" fillId="10" borderId="8" xfId="0" applyFont="1" applyFill="1" applyBorder="1" applyAlignment="1">
      <alignment horizontal="left" vertical="center" wrapText="1"/>
    </xf>
    <xf numFmtId="0" fontId="2" fillId="11" borderId="8" xfId="0" applyFont="1" applyFill="1" applyBorder="1" applyAlignment="1">
      <alignment horizontal="left" vertical="center" wrapText="1"/>
    </xf>
    <xf numFmtId="0" fontId="6" fillId="9" borderId="5" xfId="0" applyFont="1" applyFill="1" applyBorder="1" applyAlignment="1">
      <alignment horizontal="left" vertical="center" wrapText="1"/>
    </xf>
    <xf numFmtId="0" fontId="6" fillId="9" borderId="8" xfId="0" applyFont="1" applyFill="1" applyBorder="1" applyAlignment="1">
      <alignment horizontal="left" vertical="center" wrapText="1"/>
    </xf>
    <xf numFmtId="0" fontId="6" fillId="9" borderId="10" xfId="0" applyFont="1" applyFill="1" applyBorder="1" applyAlignment="1">
      <alignment horizontal="left" vertical="center" wrapText="1"/>
    </xf>
    <xf numFmtId="0" fontId="2" fillId="11" borderId="10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0" fillId="5" borderId="4" xfId="0" applyFill="1" applyBorder="1" applyAlignment="1">
      <alignment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wrapText="1"/>
    </xf>
    <xf numFmtId="10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0" fontId="10" fillId="0" borderId="0" xfId="2" applyAlignment="1">
      <alignment horizontal="center" vertical="center"/>
    </xf>
    <xf numFmtId="0" fontId="11" fillId="0" borderId="1" xfId="1" applyFont="1" applyBorder="1" applyAlignment="1">
      <alignment horizontal="center" vertical="center" wrapText="1"/>
    </xf>
    <xf numFmtId="0" fontId="10" fillId="0" borderId="1" xfId="2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12" fillId="0" borderId="0" xfId="0" applyFont="1"/>
    <xf numFmtId="0" fontId="0" fillId="0" borderId="22" xfId="0" applyBorder="1" applyAlignment="1">
      <alignment horizontal="center" vertical="center"/>
    </xf>
    <xf numFmtId="9" fontId="8" fillId="0" borderId="1" xfId="0" applyNumberFormat="1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0" fontId="8" fillId="0" borderId="22" xfId="0" applyNumberFormat="1" applyFont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center" vertical="center"/>
    </xf>
    <xf numFmtId="10" fontId="0" fillId="0" borderId="1" xfId="3" applyNumberFormat="1" applyFont="1" applyBorder="1" applyAlignment="1">
      <alignment horizontal="center" vertical="center"/>
    </xf>
    <xf numFmtId="10" fontId="0" fillId="7" borderId="1" xfId="0" applyNumberFormat="1" applyFill="1" applyBorder="1"/>
    <xf numFmtId="10" fontId="0" fillId="0" borderId="0" xfId="0" applyNumberFormat="1"/>
    <xf numFmtId="10" fontId="0" fillId="8" borderId="1" xfId="0" applyNumberFormat="1" applyFill="1" applyBorder="1"/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</cellXfs>
  <cellStyles count="4">
    <cellStyle name="Hyperlink" xfId="1" xr:uid="{00000000-000B-0000-0000-000008000000}"/>
    <cellStyle name="Lien hypertexte" xfId="2" builtinId="8"/>
    <cellStyle name="Normal" xfId="0" builtinId="0"/>
    <cellStyle name="Pourcentage" xfId="3" builtinId="5"/>
  </cellStyles>
  <dxfs count="3"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2DFCFF1-9F62-DB45-95A6-70FAE3982E4C}">
  <we:reference id="wa200010725" version="1.0.0.1" store="fr-FR" storeType="OMEX"/>
  <we:alternateReferences>
    <we:reference id="WA200010725" version="1.0.0.1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97/sla.0000000000005641" TargetMode="External"/><Relationship Id="rId3" Type="http://schemas.openxmlformats.org/officeDocument/2006/relationships/hyperlink" Target="https://doi.org/10.1097/hep.0000000000001449" TargetMode="External"/><Relationship Id="rId7" Type="http://schemas.openxmlformats.org/officeDocument/2006/relationships/hyperlink" Target="https://doi.org/10.1097/00000658-199611000-00007" TargetMode="External"/><Relationship Id="rId2" Type="http://schemas.openxmlformats.org/officeDocument/2006/relationships/hyperlink" Target="https://doi.org/10.1097/sla.0000000000002574" TargetMode="External"/><Relationship Id="rId1" Type="http://schemas.openxmlformats.org/officeDocument/2006/relationships/hyperlink" Target="https://doi.org/10.1016/j.ejso.2007.10.005" TargetMode="External"/><Relationship Id="rId6" Type="http://schemas.openxmlformats.org/officeDocument/2006/relationships/hyperlink" Target="https://doi.org/10.1016/j.ciresp.2009.11.005" TargetMode="External"/><Relationship Id="rId5" Type="http://schemas.openxmlformats.org/officeDocument/2006/relationships/hyperlink" Target="https://doi.org/10.1016/s1072-7515(98)00207-5" TargetMode="External"/><Relationship Id="rId10" Type="http://schemas.openxmlformats.org/officeDocument/2006/relationships/hyperlink" Target="https://doi.org/10.1111/liv.70729" TargetMode="External"/><Relationship Id="rId4" Type="http://schemas.openxmlformats.org/officeDocument/2006/relationships/hyperlink" Target="https://doi.org/10.1016/j.jamcollsurg.2015.01.064" TargetMode="External"/><Relationship Id="rId9" Type="http://schemas.openxmlformats.org/officeDocument/2006/relationships/hyperlink" Target="https://doi.org/10.1016/j.hpb.2026.04.10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58D03-BA38-474C-A57A-8E3FDED25C33}">
  <dimension ref="A1:CN13"/>
  <sheetViews>
    <sheetView tabSelected="1" topLeftCell="W1" workbookViewId="0">
      <selection activeCell="Z11" sqref="Z11"/>
    </sheetView>
  </sheetViews>
  <sheetFormatPr baseColWidth="10" defaultColWidth="10.83203125" defaultRowHeight="15" x14ac:dyDescent="0.2"/>
  <cols>
    <col min="1" max="1" width="24" customWidth="1"/>
    <col min="2" max="2" width="55.1640625" style="41" customWidth="1"/>
    <col min="3" max="3" width="11.83203125" style="41" customWidth="1"/>
    <col min="4" max="4" width="71.33203125" style="41" bestFit="1" customWidth="1"/>
    <col min="5" max="5" width="16.83203125" style="41" bestFit="1" customWidth="1"/>
    <col min="6" max="6" width="35.6640625" style="41" bestFit="1" customWidth="1"/>
    <col min="7" max="7" width="39.83203125" style="41" bestFit="1" customWidth="1"/>
    <col min="8" max="8" width="8.5" style="41" bestFit="1" customWidth="1"/>
    <col min="9" max="9" width="12.1640625" style="41" bestFit="1" customWidth="1"/>
    <col min="10" max="10" width="13.6640625" style="41" bestFit="1" customWidth="1"/>
    <col min="11" max="11" width="23.5" style="41" bestFit="1" customWidth="1"/>
    <col min="12" max="12" width="50.1640625" style="41" bestFit="1" customWidth="1"/>
    <col min="13" max="13" width="14.83203125" style="41" bestFit="1" customWidth="1"/>
    <col min="14" max="14" width="13.6640625" style="41" bestFit="1" customWidth="1"/>
    <col min="15" max="15" width="23.1640625" bestFit="1" customWidth="1"/>
    <col min="16" max="16" width="28.33203125" bestFit="1" customWidth="1"/>
    <col min="17" max="17" width="12.6640625" bestFit="1" customWidth="1"/>
    <col min="18" max="18" width="14.83203125" bestFit="1" customWidth="1"/>
    <col min="19" max="19" width="30.33203125" bestFit="1" customWidth="1"/>
    <col min="20" max="20" width="24.1640625" bestFit="1" customWidth="1"/>
    <col min="21" max="21" width="19" bestFit="1" customWidth="1"/>
    <col min="22" max="22" width="33.5" bestFit="1" customWidth="1"/>
    <col min="23" max="23" width="31.5" bestFit="1" customWidth="1"/>
    <col min="24" max="26" width="19" style="71" bestFit="1" customWidth="1"/>
    <col min="27" max="29" width="21" style="71" bestFit="1" customWidth="1"/>
    <col min="30" max="32" width="19" style="71" bestFit="1" customWidth="1"/>
    <col min="33" max="33" width="29.33203125" bestFit="1" customWidth="1"/>
    <col min="34" max="34" width="33.5" bestFit="1" customWidth="1"/>
    <col min="35" max="35" width="16.83203125" bestFit="1" customWidth="1"/>
    <col min="36" max="36" width="22" bestFit="1" customWidth="1"/>
    <col min="37" max="37" width="30.33203125" bestFit="1" customWidth="1"/>
    <col min="38" max="38" width="21" bestFit="1" customWidth="1"/>
    <col min="39" max="39" width="54.33203125" bestFit="1" customWidth="1"/>
    <col min="40" max="40" width="24.1640625" bestFit="1" customWidth="1"/>
    <col min="41" max="41" width="16.83203125" bestFit="1" customWidth="1"/>
    <col min="42" max="42" width="21" bestFit="1" customWidth="1"/>
    <col min="43" max="43" width="28.33203125" bestFit="1" customWidth="1"/>
    <col min="44" max="44" width="22" bestFit="1" customWidth="1"/>
    <col min="45" max="45" width="28.33203125" bestFit="1" customWidth="1"/>
    <col min="46" max="46" width="12.6640625" bestFit="1" customWidth="1"/>
    <col min="47" max="47" width="17.83203125" bestFit="1" customWidth="1"/>
    <col min="48" max="48" width="30.33203125" bestFit="1" customWidth="1"/>
    <col min="49" max="49" width="24.1640625" bestFit="1" customWidth="1"/>
    <col min="50" max="50" width="19" bestFit="1" customWidth="1"/>
    <col min="51" max="51" width="25.1640625" bestFit="1" customWidth="1"/>
    <col min="52" max="52" width="16.83203125" bestFit="1" customWidth="1"/>
    <col min="53" max="55" width="19" style="71" bestFit="1" customWidth="1"/>
    <col min="56" max="58" width="21" style="71" bestFit="1" customWidth="1"/>
    <col min="59" max="61" width="19" style="71" bestFit="1" customWidth="1"/>
    <col min="62" max="62" width="29.33203125" bestFit="1" customWidth="1"/>
    <col min="63" max="63" width="33.5" bestFit="1" customWidth="1"/>
    <col min="64" max="64" width="17.83203125" bestFit="1" customWidth="1"/>
    <col min="65" max="65" width="16.83203125" bestFit="1" customWidth="1"/>
    <col min="66" max="66" width="22" bestFit="1" customWidth="1"/>
    <col min="67" max="67" width="37.6640625" bestFit="1" customWidth="1"/>
    <col min="68" max="68" width="21" bestFit="1" customWidth="1"/>
    <col min="69" max="69" width="54.33203125" bestFit="1" customWidth="1"/>
    <col min="70" max="70" width="24.1640625" bestFit="1" customWidth="1"/>
    <col min="71" max="71" width="16.83203125" bestFit="1" customWidth="1"/>
    <col min="72" max="72" width="21" bestFit="1" customWidth="1"/>
    <col min="73" max="73" width="22" bestFit="1" customWidth="1"/>
    <col min="74" max="74" width="28.33203125" bestFit="1" customWidth="1"/>
    <col min="75" max="75" width="52.33203125" bestFit="1" customWidth="1"/>
    <col min="76" max="76" width="53.33203125" bestFit="1" customWidth="1"/>
    <col min="77" max="77" width="29.33203125" bestFit="1" customWidth="1"/>
    <col min="78" max="78" width="30.33203125" bestFit="1" customWidth="1"/>
    <col min="79" max="79" width="76" bestFit="1" customWidth="1"/>
  </cols>
  <sheetData>
    <row r="1" spans="1:92" ht="17" thickBot="1" x14ac:dyDescent="0.25">
      <c r="A1" s="47"/>
      <c r="B1" s="49" t="s">
        <v>0</v>
      </c>
      <c r="C1" s="43" t="s">
        <v>1</v>
      </c>
      <c r="D1" s="43" t="s">
        <v>2</v>
      </c>
      <c r="E1" s="43" t="s">
        <v>3</v>
      </c>
      <c r="F1" s="43" t="s">
        <v>4</v>
      </c>
      <c r="G1" s="43" t="s">
        <v>5</v>
      </c>
      <c r="H1" s="43" t="s">
        <v>6</v>
      </c>
      <c r="I1" s="43" t="s">
        <v>7</v>
      </c>
      <c r="J1" s="43" t="s">
        <v>8</v>
      </c>
      <c r="K1" s="43" t="s">
        <v>9</v>
      </c>
      <c r="L1" s="43" t="s">
        <v>10</v>
      </c>
      <c r="M1" s="43" t="s">
        <v>11</v>
      </c>
      <c r="N1" s="43" t="s">
        <v>12</v>
      </c>
      <c r="O1" s="43" t="s">
        <v>13</v>
      </c>
      <c r="P1" s="43" t="s">
        <v>14</v>
      </c>
      <c r="Q1" s="44" t="s">
        <v>15</v>
      </c>
      <c r="R1" s="44" t="s">
        <v>16</v>
      </c>
      <c r="S1" s="44" t="s">
        <v>17</v>
      </c>
      <c r="T1" s="44" t="s">
        <v>18</v>
      </c>
      <c r="U1" s="44" t="s">
        <v>19</v>
      </c>
      <c r="V1" s="44" t="s">
        <v>20</v>
      </c>
      <c r="W1" s="44" t="s">
        <v>21</v>
      </c>
      <c r="X1" s="70" t="s">
        <v>292</v>
      </c>
      <c r="Y1" s="70" t="s">
        <v>291</v>
      </c>
      <c r="Z1" s="70" t="s">
        <v>290</v>
      </c>
      <c r="AA1" s="70" t="s">
        <v>289</v>
      </c>
      <c r="AB1" s="70" t="s">
        <v>288</v>
      </c>
      <c r="AC1" s="70" t="s">
        <v>287</v>
      </c>
      <c r="AD1" s="70" t="s">
        <v>284</v>
      </c>
      <c r="AE1" s="70" t="s">
        <v>285</v>
      </c>
      <c r="AF1" s="70" t="s">
        <v>286</v>
      </c>
      <c r="AG1" s="44" t="s">
        <v>28</v>
      </c>
      <c r="AH1" s="44" t="s">
        <v>29</v>
      </c>
      <c r="AI1" s="44" t="s">
        <v>30</v>
      </c>
      <c r="AJ1" s="44" t="s">
        <v>31</v>
      </c>
      <c r="AK1" s="44" t="s">
        <v>32</v>
      </c>
      <c r="AL1" s="44" t="s">
        <v>33</v>
      </c>
      <c r="AM1" s="44" t="s">
        <v>34</v>
      </c>
      <c r="AN1" s="44" t="s">
        <v>35</v>
      </c>
      <c r="AO1" s="44" t="s">
        <v>36</v>
      </c>
      <c r="AP1" s="44" t="s">
        <v>37</v>
      </c>
      <c r="AQ1" s="44" t="s">
        <v>38</v>
      </c>
      <c r="AR1" s="44" t="s">
        <v>39</v>
      </c>
      <c r="AS1" s="44" t="s">
        <v>40</v>
      </c>
      <c r="AT1" s="45" t="s">
        <v>41</v>
      </c>
      <c r="AU1" s="45" t="s">
        <v>42</v>
      </c>
      <c r="AV1" s="45" t="s">
        <v>43</v>
      </c>
      <c r="AW1" s="45" t="s">
        <v>44</v>
      </c>
      <c r="AX1" s="45" t="s">
        <v>45</v>
      </c>
      <c r="AY1" s="45" t="s">
        <v>46</v>
      </c>
      <c r="AZ1" s="45" t="s">
        <v>47</v>
      </c>
      <c r="BA1" s="72" t="s">
        <v>293</v>
      </c>
      <c r="BB1" s="72" t="s">
        <v>294</v>
      </c>
      <c r="BC1" s="72" t="s">
        <v>295</v>
      </c>
      <c r="BD1" s="72" t="s">
        <v>296</v>
      </c>
      <c r="BE1" s="72" t="s">
        <v>297</v>
      </c>
      <c r="BF1" s="72" t="s">
        <v>298</v>
      </c>
      <c r="BG1" s="72" t="s">
        <v>299</v>
      </c>
      <c r="BH1" s="72" t="s">
        <v>300</v>
      </c>
      <c r="BI1" s="72" t="s">
        <v>301</v>
      </c>
      <c r="BJ1" s="45" t="s">
        <v>54</v>
      </c>
      <c r="BK1" s="45" t="s">
        <v>55</v>
      </c>
      <c r="BL1" s="45" t="s">
        <v>56</v>
      </c>
      <c r="BM1" s="45" t="s">
        <v>57</v>
      </c>
      <c r="BN1" s="45" t="s">
        <v>58</v>
      </c>
      <c r="BO1" s="45" t="s">
        <v>59</v>
      </c>
      <c r="BP1" s="45" t="s">
        <v>60</v>
      </c>
      <c r="BQ1" s="45" t="s">
        <v>61</v>
      </c>
      <c r="BR1" s="45" t="s">
        <v>62</v>
      </c>
      <c r="BS1" s="45" t="s">
        <v>63</v>
      </c>
      <c r="BT1" s="45" t="s">
        <v>64</v>
      </c>
      <c r="BU1" s="45" t="s">
        <v>65</v>
      </c>
      <c r="BV1" s="45" t="s">
        <v>66</v>
      </c>
      <c r="BW1" s="46" t="s">
        <v>67</v>
      </c>
      <c r="BX1" s="46" t="s">
        <v>68</v>
      </c>
      <c r="BY1" s="46" t="s">
        <v>69</v>
      </c>
      <c r="BZ1" s="46" t="s">
        <v>70</v>
      </c>
      <c r="CA1" s="44" t="s">
        <v>71</v>
      </c>
    </row>
    <row r="2" spans="1:92" s="51" customFormat="1" ht="17" thickBot="1" x14ac:dyDescent="0.25">
      <c r="A2" s="48" t="s">
        <v>72</v>
      </c>
      <c r="B2" s="50" t="s">
        <v>73</v>
      </c>
      <c r="C2" s="42" t="s">
        <v>73</v>
      </c>
      <c r="D2" s="42" t="s">
        <v>73</v>
      </c>
      <c r="E2" s="42" t="s">
        <v>73</v>
      </c>
      <c r="F2" s="42" t="s">
        <v>74</v>
      </c>
      <c r="G2" s="42" t="s">
        <v>74</v>
      </c>
      <c r="H2" s="42" t="s">
        <v>73</v>
      </c>
      <c r="I2" s="42" t="s">
        <v>73</v>
      </c>
      <c r="J2" s="42" t="s">
        <v>73</v>
      </c>
      <c r="K2" s="42" t="s">
        <v>73</v>
      </c>
      <c r="L2" s="42" t="s">
        <v>73</v>
      </c>
      <c r="M2" s="42" t="s">
        <v>73</v>
      </c>
      <c r="N2" s="42" t="s">
        <v>73</v>
      </c>
      <c r="O2" s="42" t="s">
        <v>73</v>
      </c>
      <c r="P2" s="42" t="s">
        <v>73</v>
      </c>
      <c r="Q2" s="42" t="s">
        <v>73</v>
      </c>
      <c r="R2" s="42" t="s">
        <v>73</v>
      </c>
      <c r="S2" s="42" t="s">
        <v>73</v>
      </c>
      <c r="T2" s="42" t="s">
        <v>73</v>
      </c>
      <c r="U2" s="42" t="s">
        <v>74</v>
      </c>
      <c r="V2" s="42" t="s">
        <v>73</v>
      </c>
      <c r="W2" s="42" t="s">
        <v>73</v>
      </c>
      <c r="X2" s="52" t="s">
        <v>73</v>
      </c>
      <c r="Y2" s="52" t="s">
        <v>73</v>
      </c>
      <c r="Z2" s="52" t="s">
        <v>73</v>
      </c>
      <c r="AA2" s="52" t="s">
        <v>73</v>
      </c>
      <c r="AB2" s="52" t="s">
        <v>73</v>
      </c>
      <c r="AC2" s="52" t="s">
        <v>73</v>
      </c>
      <c r="AD2" s="52" t="s">
        <v>73</v>
      </c>
      <c r="AE2" s="52" t="s">
        <v>73</v>
      </c>
      <c r="AF2" s="52" t="s">
        <v>73</v>
      </c>
      <c r="AG2" s="42" t="s">
        <v>73</v>
      </c>
      <c r="AH2" s="42" t="s">
        <v>73</v>
      </c>
      <c r="AI2" s="42" t="s">
        <v>73</v>
      </c>
      <c r="AJ2" s="42" t="s">
        <v>74</v>
      </c>
      <c r="AK2" s="42" t="s">
        <v>74</v>
      </c>
      <c r="AL2" s="42" t="s">
        <v>74</v>
      </c>
      <c r="AM2" s="42" t="s">
        <v>74</v>
      </c>
      <c r="AN2" s="42" t="s">
        <v>74</v>
      </c>
      <c r="AO2" s="42" t="s">
        <v>74</v>
      </c>
      <c r="AP2" s="42" t="s">
        <v>74</v>
      </c>
      <c r="AQ2" s="42" t="s">
        <v>74</v>
      </c>
      <c r="AR2" s="42" t="s">
        <v>74</v>
      </c>
      <c r="AS2" s="42" t="s">
        <v>74</v>
      </c>
      <c r="AT2" s="42" t="s">
        <v>73</v>
      </c>
      <c r="AU2" s="42" t="s">
        <v>73</v>
      </c>
      <c r="AV2" s="42" t="s">
        <v>73</v>
      </c>
      <c r="AW2" s="42" t="s">
        <v>73</v>
      </c>
      <c r="AX2" s="42" t="s">
        <v>73</v>
      </c>
      <c r="AY2" s="42" t="s">
        <v>73</v>
      </c>
      <c r="AZ2" s="42" t="s">
        <v>73</v>
      </c>
      <c r="BA2" s="52" t="s">
        <v>73</v>
      </c>
      <c r="BB2" s="52" t="s">
        <v>73</v>
      </c>
      <c r="BC2" s="52" t="s">
        <v>73</v>
      </c>
      <c r="BD2" s="52" t="s">
        <v>73</v>
      </c>
      <c r="BE2" s="52" t="s">
        <v>73</v>
      </c>
      <c r="BF2" s="52" t="s">
        <v>73</v>
      </c>
      <c r="BG2" s="52" t="s">
        <v>73</v>
      </c>
      <c r="BH2" s="52" t="s">
        <v>73</v>
      </c>
      <c r="BI2" s="52" t="s">
        <v>73</v>
      </c>
      <c r="BJ2" s="42" t="s">
        <v>73</v>
      </c>
      <c r="BK2" s="42" t="s">
        <v>73</v>
      </c>
      <c r="BL2" s="42" t="s">
        <v>74</v>
      </c>
      <c r="BM2" s="42" t="s">
        <v>73</v>
      </c>
      <c r="BN2" s="42" t="s">
        <v>74</v>
      </c>
      <c r="BO2" s="42" t="s">
        <v>74</v>
      </c>
      <c r="BP2" s="42" t="s">
        <v>74</v>
      </c>
      <c r="BQ2" s="42" t="s">
        <v>74</v>
      </c>
      <c r="BR2" s="42" t="s">
        <v>74</v>
      </c>
      <c r="BS2" s="42" t="s">
        <v>74</v>
      </c>
      <c r="BT2" s="42" t="s">
        <v>74</v>
      </c>
      <c r="BU2" s="42" t="s">
        <v>74</v>
      </c>
      <c r="BV2" s="42" t="s">
        <v>74</v>
      </c>
      <c r="BW2" s="42" t="s">
        <v>74</v>
      </c>
      <c r="BX2" s="42" t="s">
        <v>74</v>
      </c>
      <c r="BY2" s="42" t="s">
        <v>73</v>
      </c>
      <c r="BZ2" s="42" t="s">
        <v>73</v>
      </c>
      <c r="CA2" s="60"/>
    </row>
    <row r="3" spans="1:92" ht="48" x14ac:dyDescent="0.2">
      <c r="A3" s="73" t="s">
        <v>75</v>
      </c>
      <c r="B3" s="55" t="s">
        <v>76</v>
      </c>
      <c r="C3" s="42" t="s">
        <v>77</v>
      </c>
      <c r="D3" s="58" t="s">
        <v>78</v>
      </c>
      <c r="E3" s="42" t="s">
        <v>79</v>
      </c>
      <c r="F3" s="42"/>
      <c r="G3" s="42" t="s">
        <v>80</v>
      </c>
      <c r="H3" s="42">
        <v>2026</v>
      </c>
      <c r="I3" s="42" t="s">
        <v>81</v>
      </c>
      <c r="J3" s="42" t="s">
        <v>82</v>
      </c>
      <c r="K3" s="42" t="s">
        <v>83</v>
      </c>
      <c r="L3" s="42" t="s">
        <v>84</v>
      </c>
      <c r="M3" s="42">
        <v>105</v>
      </c>
      <c r="N3" s="42">
        <v>105</v>
      </c>
      <c r="O3" s="42" t="s">
        <v>85</v>
      </c>
      <c r="P3" s="42" t="s">
        <v>86</v>
      </c>
      <c r="Q3" s="42" t="s">
        <v>87</v>
      </c>
      <c r="R3" s="42">
        <v>82</v>
      </c>
      <c r="S3" s="54" t="s">
        <v>87</v>
      </c>
      <c r="T3" s="42" t="s">
        <v>87</v>
      </c>
      <c r="U3" s="42" t="s">
        <v>87</v>
      </c>
      <c r="V3" s="42" t="s">
        <v>87</v>
      </c>
      <c r="W3" s="42" t="s">
        <v>87</v>
      </c>
      <c r="X3" s="52">
        <v>0.753</v>
      </c>
      <c r="Y3" s="52">
        <v>0.217</v>
      </c>
      <c r="Z3" s="52" t="s">
        <v>87</v>
      </c>
      <c r="AA3" s="52">
        <v>0.69799999999999995</v>
      </c>
      <c r="AB3" s="52">
        <v>0.253</v>
      </c>
      <c r="AC3" s="64" t="s">
        <v>87</v>
      </c>
      <c r="AD3" s="52" t="s">
        <v>87</v>
      </c>
      <c r="AE3" s="52" t="s">
        <v>87</v>
      </c>
      <c r="AF3" s="52" t="s">
        <v>87</v>
      </c>
      <c r="AG3" s="54" t="s">
        <v>87</v>
      </c>
      <c r="AH3" s="54" t="s">
        <v>87</v>
      </c>
      <c r="AI3" s="42">
        <v>65.2</v>
      </c>
      <c r="AJ3" s="54" t="s">
        <v>87</v>
      </c>
      <c r="AK3" s="52">
        <v>0.13400000000000001</v>
      </c>
      <c r="AL3" s="54" t="s">
        <v>87</v>
      </c>
      <c r="AM3" s="54" t="s">
        <v>87</v>
      </c>
      <c r="AN3" s="54" t="s">
        <v>87</v>
      </c>
      <c r="AO3" s="54" t="s">
        <v>87</v>
      </c>
      <c r="AP3" s="54" t="s">
        <v>87</v>
      </c>
      <c r="AQ3" s="54" t="s">
        <v>87</v>
      </c>
      <c r="AR3" s="54" t="s">
        <v>87</v>
      </c>
      <c r="AS3" s="54" t="s">
        <v>87</v>
      </c>
      <c r="AT3" s="54" t="s">
        <v>87</v>
      </c>
      <c r="AU3" s="42">
        <v>23</v>
      </c>
      <c r="AV3" s="54" t="s">
        <v>87</v>
      </c>
      <c r="AW3" s="54" t="s">
        <v>87</v>
      </c>
      <c r="AX3" s="54" t="s">
        <v>87</v>
      </c>
      <c r="AY3" s="54" t="s">
        <v>87</v>
      </c>
      <c r="AZ3" s="54" t="s">
        <v>87</v>
      </c>
      <c r="BA3" s="64">
        <v>0.91300000000000003</v>
      </c>
      <c r="BB3" s="66">
        <v>0.75700000000000001</v>
      </c>
      <c r="BC3" s="66" t="s">
        <v>87</v>
      </c>
      <c r="BD3" s="66">
        <v>0.95599999999999996</v>
      </c>
      <c r="BE3" s="66">
        <v>0.71799999999999997</v>
      </c>
      <c r="BF3" s="66" t="s">
        <v>87</v>
      </c>
      <c r="BG3" s="52" t="s">
        <v>87</v>
      </c>
      <c r="BH3" s="52" t="s">
        <v>87</v>
      </c>
      <c r="BI3" s="52" t="s">
        <v>87</v>
      </c>
      <c r="BJ3" s="54" t="s">
        <v>87</v>
      </c>
      <c r="BK3" s="54" t="s">
        <v>87</v>
      </c>
      <c r="BL3" s="54" t="s">
        <v>87</v>
      </c>
      <c r="BM3" s="42">
        <v>52</v>
      </c>
      <c r="BN3" s="54" t="s">
        <v>87</v>
      </c>
      <c r="BO3" s="53">
        <v>0.87</v>
      </c>
      <c r="BP3" s="54" t="s">
        <v>87</v>
      </c>
      <c r="BQ3" s="54" t="s">
        <v>87</v>
      </c>
      <c r="BR3" s="54" t="s">
        <v>87</v>
      </c>
      <c r="BS3" s="54" t="s">
        <v>87</v>
      </c>
      <c r="BT3" s="54" t="s">
        <v>87</v>
      </c>
      <c r="BU3" s="54" t="s">
        <v>87</v>
      </c>
      <c r="BV3" s="54" t="s">
        <v>87</v>
      </c>
      <c r="BW3" s="54" t="s">
        <v>87</v>
      </c>
      <c r="BX3" s="54" t="s">
        <v>87</v>
      </c>
      <c r="BY3" s="42" t="s">
        <v>73</v>
      </c>
      <c r="BZ3" s="42" t="s">
        <v>73</v>
      </c>
      <c r="CA3" s="42" t="s">
        <v>308</v>
      </c>
      <c r="CB3" s="67"/>
      <c r="CC3" s="67"/>
      <c r="CD3" s="41"/>
      <c r="CE3" s="67"/>
      <c r="CF3" s="67"/>
      <c r="CG3" s="68"/>
      <c r="CI3" s="67"/>
      <c r="CJ3" s="67"/>
      <c r="CK3" s="68"/>
      <c r="CL3" s="67"/>
      <c r="CM3" s="67"/>
      <c r="CN3" s="68"/>
    </row>
    <row r="4" spans="1:92" ht="48" x14ac:dyDescent="0.2">
      <c r="A4" s="74"/>
      <c r="B4" s="55" t="s">
        <v>88</v>
      </c>
      <c r="C4" s="42" t="s">
        <v>89</v>
      </c>
      <c r="D4" s="58" t="s">
        <v>90</v>
      </c>
      <c r="E4" s="42" t="s">
        <v>91</v>
      </c>
      <c r="F4" s="42"/>
      <c r="G4" s="42" t="s">
        <v>92</v>
      </c>
      <c r="H4" s="42">
        <v>2025</v>
      </c>
      <c r="I4" s="42" t="s">
        <v>93</v>
      </c>
      <c r="J4" s="42" t="s">
        <v>94</v>
      </c>
      <c r="K4" s="42" t="s">
        <v>95</v>
      </c>
      <c r="L4" s="42"/>
      <c r="M4" s="42">
        <v>109</v>
      </c>
      <c r="N4" s="42">
        <v>109</v>
      </c>
      <c r="O4" s="42" t="s">
        <v>96</v>
      </c>
      <c r="P4" s="42" t="s">
        <v>86</v>
      </c>
      <c r="Q4" s="42" t="s">
        <v>87</v>
      </c>
      <c r="R4" s="42">
        <v>60</v>
      </c>
      <c r="S4" s="54" t="s">
        <v>87</v>
      </c>
      <c r="T4" s="42">
        <v>29</v>
      </c>
      <c r="U4" s="52">
        <v>0.54200000000000004</v>
      </c>
      <c r="V4" s="42">
        <v>60</v>
      </c>
      <c r="W4" s="52">
        <v>0.49199999999999999</v>
      </c>
      <c r="X4" s="52">
        <v>0.65</v>
      </c>
      <c r="Y4" s="52">
        <v>0.41</v>
      </c>
      <c r="Z4" s="52">
        <v>0.2</v>
      </c>
      <c r="AA4" s="52">
        <v>0.72</v>
      </c>
      <c r="AB4" s="52">
        <v>0.25</v>
      </c>
      <c r="AC4" s="52">
        <v>0.2</v>
      </c>
      <c r="AD4" s="52" t="s">
        <v>87</v>
      </c>
      <c r="AE4" s="52" t="s">
        <v>87</v>
      </c>
      <c r="AF4" s="52" t="s">
        <v>87</v>
      </c>
      <c r="AG4" s="42" t="s">
        <v>87</v>
      </c>
      <c r="AH4" s="53">
        <v>0.4</v>
      </c>
      <c r="AI4" s="42">
        <v>66</v>
      </c>
      <c r="AJ4" s="52">
        <v>0.68300000000000005</v>
      </c>
      <c r="AK4" s="52">
        <v>1.7000000000000001E-2</v>
      </c>
      <c r="AL4" s="54" t="s">
        <v>87</v>
      </c>
      <c r="AM4" s="42" t="s">
        <v>97</v>
      </c>
      <c r="AN4" s="54" t="s">
        <v>87</v>
      </c>
      <c r="AO4" s="54" t="s">
        <v>87</v>
      </c>
      <c r="AP4" s="54">
        <v>125</v>
      </c>
      <c r="AQ4" s="54" t="s">
        <v>87</v>
      </c>
      <c r="AR4" s="54" t="s">
        <v>87</v>
      </c>
      <c r="AS4" s="54">
        <v>16</v>
      </c>
      <c r="AT4" s="54" t="s">
        <v>87</v>
      </c>
      <c r="AU4" s="42">
        <v>49</v>
      </c>
      <c r="AV4" s="42" t="s">
        <v>98</v>
      </c>
      <c r="AW4" s="42">
        <v>26</v>
      </c>
      <c r="AX4" s="52">
        <v>0.32400000000000001</v>
      </c>
      <c r="AY4" s="52">
        <v>6.5000000000000002E-2</v>
      </c>
      <c r="AZ4" s="54" t="s">
        <v>87</v>
      </c>
      <c r="BA4" s="52">
        <v>0.76</v>
      </c>
      <c r="BB4" s="52">
        <v>0.56000000000000005</v>
      </c>
      <c r="BC4" s="52">
        <v>0.42</v>
      </c>
      <c r="BD4" s="52">
        <v>0.81</v>
      </c>
      <c r="BE4" s="52">
        <v>0.56000000000000005</v>
      </c>
      <c r="BF4" s="52">
        <v>0.43</v>
      </c>
      <c r="BG4" s="52" t="s">
        <v>87</v>
      </c>
      <c r="BH4" s="52" t="s">
        <v>87</v>
      </c>
      <c r="BI4" s="52" t="s">
        <v>87</v>
      </c>
      <c r="BJ4" s="54" t="s">
        <v>87</v>
      </c>
      <c r="BK4" s="52">
        <v>0.46899999999999997</v>
      </c>
      <c r="BL4" s="54" t="s">
        <v>87</v>
      </c>
      <c r="BM4" s="42">
        <v>54</v>
      </c>
      <c r="BN4" s="52">
        <v>0.69399999999999995</v>
      </c>
      <c r="BO4" s="52">
        <v>0.28599999999999998</v>
      </c>
      <c r="BP4" s="54" t="s">
        <v>87</v>
      </c>
      <c r="BQ4" s="42" t="s">
        <v>99</v>
      </c>
      <c r="BR4" s="54" t="s">
        <v>87</v>
      </c>
      <c r="BS4" s="54" t="s">
        <v>87</v>
      </c>
      <c r="BT4" s="42">
        <v>143</v>
      </c>
      <c r="BU4" s="42" t="s">
        <v>87</v>
      </c>
      <c r="BV4" s="42">
        <v>14</v>
      </c>
      <c r="BW4" s="59" t="s">
        <v>311</v>
      </c>
      <c r="BX4" s="59" t="s">
        <v>310</v>
      </c>
      <c r="BY4" s="42" t="s">
        <v>73</v>
      </c>
      <c r="BZ4" s="42" t="s">
        <v>73</v>
      </c>
      <c r="CA4" s="42" t="s">
        <v>100</v>
      </c>
    </row>
    <row r="5" spans="1:92" ht="16" x14ac:dyDescent="0.2">
      <c r="A5" s="74"/>
      <c r="B5" s="55" t="s">
        <v>101</v>
      </c>
      <c r="C5" s="42" t="s">
        <v>102</v>
      </c>
      <c r="D5" s="57" t="s">
        <v>103</v>
      </c>
      <c r="E5" s="42" t="s">
        <v>104</v>
      </c>
      <c r="F5" s="42"/>
      <c r="G5" s="42" t="s">
        <v>105</v>
      </c>
      <c r="H5" s="42">
        <v>2007</v>
      </c>
      <c r="I5" s="42" t="s">
        <v>106</v>
      </c>
      <c r="J5" s="42" t="s">
        <v>107</v>
      </c>
      <c r="K5" s="42" t="s">
        <v>108</v>
      </c>
      <c r="L5" s="42"/>
      <c r="M5" s="42">
        <v>61</v>
      </c>
      <c r="N5" s="42">
        <v>56</v>
      </c>
      <c r="O5" s="42" t="s">
        <v>85</v>
      </c>
      <c r="P5" s="42" t="s">
        <v>86</v>
      </c>
      <c r="Q5" s="42">
        <v>49</v>
      </c>
      <c r="R5" s="42">
        <v>44</v>
      </c>
      <c r="S5" s="54" t="s">
        <v>87</v>
      </c>
      <c r="T5" s="42">
        <v>30.03</v>
      </c>
      <c r="U5" s="52">
        <v>0.54500000000000004</v>
      </c>
      <c r="V5" s="42">
        <v>18</v>
      </c>
      <c r="W5" s="53">
        <v>0.36</v>
      </c>
      <c r="X5" s="52">
        <v>0.6</v>
      </c>
      <c r="Y5" s="52">
        <v>0.43</v>
      </c>
      <c r="Z5" s="52">
        <v>0.28000000000000003</v>
      </c>
      <c r="AA5" s="52" t="s">
        <v>87</v>
      </c>
      <c r="AB5" s="52" t="s">
        <v>87</v>
      </c>
      <c r="AC5" s="64" t="s">
        <v>87</v>
      </c>
      <c r="AD5" s="52" t="s">
        <v>87</v>
      </c>
      <c r="AE5" s="52" t="s">
        <v>87</v>
      </c>
      <c r="AF5" s="52" t="s">
        <v>87</v>
      </c>
      <c r="AG5" s="52">
        <v>6.8000000000000005E-2</v>
      </c>
      <c r="AH5" s="54" t="s">
        <v>87</v>
      </c>
      <c r="AI5" s="42">
        <v>54.7</v>
      </c>
      <c r="AJ5" s="53">
        <v>0.5454</v>
      </c>
      <c r="AK5" s="52">
        <v>6.8000000000000005E-2</v>
      </c>
      <c r="AL5" s="54" t="s">
        <v>87</v>
      </c>
      <c r="AM5" s="54" t="s">
        <v>87</v>
      </c>
      <c r="AN5" s="42">
        <v>17</v>
      </c>
      <c r="AO5" s="54" t="s">
        <v>87</v>
      </c>
      <c r="AP5" s="54" t="s">
        <v>87</v>
      </c>
      <c r="AQ5" s="54" t="s">
        <v>87</v>
      </c>
      <c r="AR5" s="54" t="s">
        <v>87</v>
      </c>
      <c r="AS5" s="42">
        <v>20</v>
      </c>
      <c r="AT5" s="54" t="s">
        <v>87</v>
      </c>
      <c r="AU5" s="42">
        <v>12</v>
      </c>
      <c r="AV5" s="54" t="s">
        <v>87</v>
      </c>
      <c r="AW5" s="42" t="s">
        <v>109</v>
      </c>
      <c r="AX5" s="52">
        <v>0.58299999999999996</v>
      </c>
      <c r="AY5" s="53">
        <v>0.25</v>
      </c>
      <c r="AZ5" s="54" t="s">
        <v>87</v>
      </c>
      <c r="BA5" s="52">
        <v>0.57999999999999996</v>
      </c>
      <c r="BB5" s="67">
        <v>0.41</v>
      </c>
      <c r="BC5" s="52">
        <v>0.2</v>
      </c>
      <c r="BD5" s="64" t="s">
        <v>87</v>
      </c>
      <c r="BE5" s="64" t="s">
        <v>87</v>
      </c>
      <c r="BF5" s="64" t="s">
        <v>87</v>
      </c>
      <c r="BG5" s="52" t="s">
        <v>87</v>
      </c>
      <c r="BH5" s="52" t="s">
        <v>87</v>
      </c>
      <c r="BI5" s="52" t="s">
        <v>87</v>
      </c>
      <c r="BJ5" s="54" t="s">
        <v>87</v>
      </c>
      <c r="BK5" s="54" t="s">
        <v>87</v>
      </c>
      <c r="BL5" s="54" t="s">
        <v>87</v>
      </c>
      <c r="BM5" s="42">
        <v>47.7</v>
      </c>
      <c r="BN5" s="53">
        <v>0.66</v>
      </c>
      <c r="BO5" s="53">
        <v>0.33</v>
      </c>
      <c r="BP5" s="54" t="s">
        <v>87</v>
      </c>
      <c r="BQ5" s="54" t="s">
        <v>87</v>
      </c>
      <c r="BR5" s="42">
        <v>3</v>
      </c>
      <c r="BS5" s="54" t="s">
        <v>87</v>
      </c>
      <c r="BT5" s="54" t="s">
        <v>87</v>
      </c>
      <c r="BU5" s="54" t="s">
        <v>87</v>
      </c>
      <c r="BV5" s="54" t="s">
        <v>87</v>
      </c>
      <c r="BW5" s="54" t="s">
        <v>87</v>
      </c>
      <c r="BX5" s="54" t="s">
        <v>87</v>
      </c>
      <c r="BY5" s="42" t="s">
        <v>73</v>
      </c>
      <c r="BZ5" s="42" t="s">
        <v>74</v>
      </c>
      <c r="CA5" s="60"/>
    </row>
    <row r="6" spans="1:92" ht="32" x14ac:dyDescent="0.2">
      <c r="A6" s="74"/>
      <c r="B6" s="55" t="s">
        <v>110</v>
      </c>
      <c r="C6" s="42" t="s">
        <v>111</v>
      </c>
      <c r="D6" s="56" t="s">
        <v>112</v>
      </c>
      <c r="E6" s="42" t="s">
        <v>113</v>
      </c>
      <c r="F6" s="42"/>
      <c r="G6" s="42" t="s">
        <v>114</v>
      </c>
      <c r="H6" s="42">
        <v>2018</v>
      </c>
      <c r="I6" s="42" t="s">
        <v>81</v>
      </c>
      <c r="J6" s="42" t="s">
        <v>115</v>
      </c>
      <c r="K6" s="42" t="s">
        <v>95</v>
      </c>
      <c r="L6" s="42"/>
      <c r="M6" s="42">
        <v>304</v>
      </c>
      <c r="N6" s="42">
        <v>232</v>
      </c>
      <c r="O6" s="42" t="s">
        <v>116</v>
      </c>
      <c r="P6" s="42" t="s">
        <v>117</v>
      </c>
      <c r="Q6" s="42">
        <v>234</v>
      </c>
      <c r="R6" s="42">
        <v>191</v>
      </c>
      <c r="S6" s="42" t="s">
        <v>118</v>
      </c>
      <c r="T6" s="42">
        <v>30</v>
      </c>
      <c r="U6" s="53">
        <v>0.38</v>
      </c>
      <c r="V6" s="53" t="s">
        <v>87</v>
      </c>
      <c r="W6" s="53">
        <v>0.3</v>
      </c>
      <c r="X6" s="52">
        <v>0.71</v>
      </c>
      <c r="Y6" s="52">
        <v>0.33</v>
      </c>
      <c r="Z6" s="52">
        <v>0.18</v>
      </c>
      <c r="AA6" s="64" t="s">
        <v>87</v>
      </c>
      <c r="AB6" s="64" t="s">
        <v>87</v>
      </c>
      <c r="AC6" s="64" t="s">
        <v>87</v>
      </c>
      <c r="AD6" s="52">
        <v>0.66</v>
      </c>
      <c r="AE6" s="52">
        <v>0.28999999999999998</v>
      </c>
      <c r="AF6" s="52">
        <v>0.17</v>
      </c>
      <c r="AG6" s="53">
        <v>0.08</v>
      </c>
      <c r="AH6" s="53">
        <v>0.45</v>
      </c>
      <c r="AI6" s="42">
        <v>67</v>
      </c>
      <c r="AJ6" s="53">
        <v>0.59</v>
      </c>
      <c r="AK6" s="53">
        <v>0.02</v>
      </c>
      <c r="AL6" s="63" t="s">
        <v>87</v>
      </c>
      <c r="AM6" s="42" t="s">
        <v>119</v>
      </c>
      <c r="AN6" s="63" t="s">
        <v>87</v>
      </c>
      <c r="AO6" s="54" t="s">
        <v>87</v>
      </c>
      <c r="AP6" s="54" t="s">
        <v>87</v>
      </c>
      <c r="AQ6" s="54" t="s">
        <v>87</v>
      </c>
      <c r="AR6" s="54" t="s">
        <v>87</v>
      </c>
      <c r="AS6" s="42">
        <v>11</v>
      </c>
      <c r="AT6" s="42">
        <v>70</v>
      </c>
      <c r="AU6" s="42">
        <v>41</v>
      </c>
      <c r="AV6" s="42" t="s">
        <v>120</v>
      </c>
      <c r="AW6" s="42">
        <v>25</v>
      </c>
      <c r="AX6" s="53">
        <v>0.19</v>
      </c>
      <c r="AY6" s="53">
        <v>0.1</v>
      </c>
      <c r="AZ6" s="52">
        <v>0.34300000000000003</v>
      </c>
      <c r="BA6" s="52">
        <v>0.93</v>
      </c>
      <c r="BB6" s="52">
        <v>0.72</v>
      </c>
      <c r="BC6" s="52">
        <v>0.64</v>
      </c>
      <c r="BD6" s="64" t="s">
        <v>87</v>
      </c>
      <c r="BE6" s="64" t="s">
        <v>87</v>
      </c>
      <c r="BF6" s="64" t="s">
        <v>87</v>
      </c>
      <c r="BG6" s="52">
        <v>0.8</v>
      </c>
      <c r="BH6" s="52">
        <v>0.57999999999999996</v>
      </c>
      <c r="BI6" s="52">
        <v>0.53</v>
      </c>
      <c r="BJ6" s="53">
        <v>0.05</v>
      </c>
      <c r="BK6" s="53">
        <v>0.34</v>
      </c>
      <c r="BL6" s="54" t="s">
        <v>87</v>
      </c>
      <c r="BM6" s="42">
        <v>54</v>
      </c>
      <c r="BN6" s="53">
        <v>0.71</v>
      </c>
      <c r="BO6" s="53">
        <v>0.61</v>
      </c>
      <c r="BP6" s="54" t="s">
        <v>87</v>
      </c>
      <c r="BQ6" s="54" t="s">
        <v>121</v>
      </c>
      <c r="BR6" s="42" t="s">
        <v>87</v>
      </c>
      <c r="BS6" s="42" t="s">
        <v>87</v>
      </c>
      <c r="BT6" s="42" t="s">
        <v>87</v>
      </c>
      <c r="BU6" s="42" t="s">
        <v>87</v>
      </c>
      <c r="BV6" s="42">
        <v>8</v>
      </c>
      <c r="BW6" s="54" t="s">
        <v>87</v>
      </c>
      <c r="BX6" s="54" t="s">
        <v>87</v>
      </c>
      <c r="BY6" s="42" t="s">
        <v>73</v>
      </c>
      <c r="BZ6" s="42" t="s">
        <v>74</v>
      </c>
      <c r="CA6" s="65" t="s">
        <v>303</v>
      </c>
    </row>
    <row r="7" spans="1:92" ht="48" x14ac:dyDescent="0.2">
      <c r="A7" s="74"/>
      <c r="B7" s="55" t="s">
        <v>122</v>
      </c>
      <c r="C7" s="42" t="s">
        <v>123</v>
      </c>
      <c r="D7" s="58" t="s">
        <v>124</v>
      </c>
      <c r="E7" s="42" t="s">
        <v>125</v>
      </c>
      <c r="F7" s="42"/>
      <c r="G7" s="42" t="s">
        <v>126</v>
      </c>
      <c r="H7" s="42">
        <v>2025</v>
      </c>
      <c r="I7" s="42" t="s">
        <v>81</v>
      </c>
      <c r="J7" s="42" t="s">
        <v>127</v>
      </c>
      <c r="K7" s="42" t="s">
        <v>83</v>
      </c>
      <c r="L7" s="59" t="s">
        <v>128</v>
      </c>
      <c r="M7" s="42">
        <v>415</v>
      </c>
      <c r="N7" s="42">
        <v>282</v>
      </c>
      <c r="O7" s="42" t="s">
        <v>116</v>
      </c>
      <c r="P7" s="59" t="s">
        <v>273</v>
      </c>
      <c r="Q7" s="42">
        <v>288</v>
      </c>
      <c r="R7" s="42">
        <v>207</v>
      </c>
      <c r="S7" s="54" t="s">
        <v>87</v>
      </c>
      <c r="T7" s="42">
        <v>29</v>
      </c>
      <c r="U7" s="52">
        <v>0.46899999999999997</v>
      </c>
      <c r="V7" s="42">
        <v>37</v>
      </c>
      <c r="W7" s="52">
        <v>0.19800000000000001</v>
      </c>
      <c r="X7" s="52">
        <v>0.84399999999999997</v>
      </c>
      <c r="Y7" s="52">
        <v>0.6</v>
      </c>
      <c r="Z7" s="52">
        <v>0.45700000000000002</v>
      </c>
      <c r="AA7" s="52">
        <v>0.746</v>
      </c>
      <c r="AB7" s="52">
        <v>0.439</v>
      </c>
      <c r="AC7" s="52">
        <v>0.31900000000000001</v>
      </c>
      <c r="AD7" s="52">
        <v>0.77500000000000002</v>
      </c>
      <c r="AE7" s="52">
        <v>0.46200000000000002</v>
      </c>
      <c r="AF7" s="52">
        <v>0.33900000000000002</v>
      </c>
      <c r="AG7" s="52" t="s">
        <v>87</v>
      </c>
      <c r="AH7" s="52">
        <v>0.39100000000000001</v>
      </c>
      <c r="AI7" s="42">
        <v>64</v>
      </c>
      <c r="AJ7" s="52">
        <v>0.61339999999999995</v>
      </c>
      <c r="AK7" s="42">
        <v>0</v>
      </c>
      <c r="AL7" s="64" t="s">
        <v>87</v>
      </c>
      <c r="AM7" s="42" t="s">
        <v>309</v>
      </c>
      <c r="AN7" s="64" t="s">
        <v>87</v>
      </c>
      <c r="AO7" s="54" t="s">
        <v>87</v>
      </c>
      <c r="AP7" s="42">
        <v>76</v>
      </c>
      <c r="AQ7" s="54" t="s">
        <v>87</v>
      </c>
      <c r="AR7" s="54" t="s">
        <v>87</v>
      </c>
      <c r="AS7" s="64" t="s">
        <v>87</v>
      </c>
      <c r="AT7" s="42">
        <v>127</v>
      </c>
      <c r="AU7" s="42">
        <v>75</v>
      </c>
      <c r="AV7" s="42" t="s">
        <v>120</v>
      </c>
      <c r="AW7" s="42">
        <v>17</v>
      </c>
      <c r="AX7" s="64" t="s">
        <v>87</v>
      </c>
      <c r="AY7" s="64" t="s">
        <v>87</v>
      </c>
      <c r="AZ7" s="52">
        <v>0.40899999999999997</v>
      </c>
      <c r="BA7" s="52">
        <v>0.97299999999999998</v>
      </c>
      <c r="BB7" s="52">
        <v>0.80200000000000005</v>
      </c>
      <c r="BC7" s="52">
        <v>0.58099999999999996</v>
      </c>
      <c r="BD7" s="52">
        <v>0.89300000000000002</v>
      </c>
      <c r="BE7" s="52">
        <v>0.55600000000000005</v>
      </c>
      <c r="BF7" s="52">
        <v>0.46899999999999997</v>
      </c>
      <c r="BG7" s="52">
        <v>0.80300000000000005</v>
      </c>
      <c r="BH7" s="52">
        <v>0.51700000000000002</v>
      </c>
      <c r="BI7" s="52">
        <v>0.378</v>
      </c>
      <c r="BJ7" s="52" t="s">
        <v>87</v>
      </c>
      <c r="BK7" s="53">
        <v>0.44</v>
      </c>
      <c r="BL7" s="54" t="s">
        <v>87</v>
      </c>
      <c r="BM7" s="42">
        <v>56</v>
      </c>
      <c r="BN7" s="52">
        <v>0.73299999999999998</v>
      </c>
      <c r="BO7" s="52">
        <v>0</v>
      </c>
      <c r="BP7" s="54" t="s">
        <v>87</v>
      </c>
      <c r="BQ7" s="64" t="s">
        <v>87</v>
      </c>
      <c r="BR7" s="53" t="s">
        <v>87</v>
      </c>
      <c r="BS7" s="64" t="s">
        <v>87</v>
      </c>
      <c r="BT7" s="42">
        <v>143</v>
      </c>
      <c r="BU7" s="64" t="s">
        <v>87</v>
      </c>
      <c r="BV7" s="54" t="s">
        <v>87</v>
      </c>
      <c r="BW7" s="54" t="s">
        <v>87</v>
      </c>
      <c r="BX7" s="54" t="s">
        <v>87</v>
      </c>
      <c r="BY7" s="42" t="s">
        <v>73</v>
      </c>
      <c r="BZ7" s="42" t="s">
        <v>74</v>
      </c>
      <c r="CA7" s="42" t="s">
        <v>304</v>
      </c>
    </row>
    <row r="8" spans="1:92" ht="48" x14ac:dyDescent="0.2">
      <c r="A8" s="74"/>
      <c r="B8" s="55" t="s">
        <v>129</v>
      </c>
      <c r="C8" s="42" t="s">
        <v>130</v>
      </c>
      <c r="D8" s="58" t="s">
        <v>131</v>
      </c>
      <c r="E8" s="42" t="s">
        <v>113</v>
      </c>
      <c r="F8" s="42"/>
      <c r="G8" s="42" t="s">
        <v>274</v>
      </c>
      <c r="H8" s="42">
        <v>2022</v>
      </c>
      <c r="I8" s="42" t="s">
        <v>93</v>
      </c>
      <c r="J8" s="42" t="s">
        <v>132</v>
      </c>
      <c r="K8" s="59" t="s">
        <v>275</v>
      </c>
      <c r="L8" s="42"/>
      <c r="M8" s="42">
        <v>240</v>
      </c>
      <c r="N8" s="42">
        <v>226</v>
      </c>
      <c r="O8" s="42" t="s">
        <v>85</v>
      </c>
      <c r="P8" s="42" t="s">
        <v>87</v>
      </c>
      <c r="Q8" s="42" t="s">
        <v>87</v>
      </c>
      <c r="R8" s="42">
        <v>106</v>
      </c>
      <c r="S8" s="42" t="s">
        <v>87</v>
      </c>
      <c r="T8" s="42" t="s">
        <v>87</v>
      </c>
      <c r="U8" s="53">
        <v>0</v>
      </c>
      <c r="V8" s="54" t="s">
        <v>87</v>
      </c>
      <c r="W8" s="63">
        <v>0.06</v>
      </c>
      <c r="X8" s="64">
        <v>0.84199999999999997</v>
      </c>
      <c r="Y8" s="64">
        <v>0.629</v>
      </c>
      <c r="Z8" s="52">
        <v>0.39900000000000002</v>
      </c>
      <c r="AA8" s="64">
        <v>0.60699999999999998</v>
      </c>
      <c r="AB8" s="64">
        <v>0.29299999999999998</v>
      </c>
      <c r="AC8" s="52">
        <v>0.17399999999999999</v>
      </c>
      <c r="AD8" s="64" t="s">
        <v>87</v>
      </c>
      <c r="AE8" s="66" t="s">
        <v>87</v>
      </c>
      <c r="AF8" s="66" t="s">
        <v>87</v>
      </c>
      <c r="AG8" s="54" t="s">
        <v>87</v>
      </c>
      <c r="AH8" s="52">
        <v>0.746</v>
      </c>
      <c r="AI8" s="54" t="s">
        <v>87</v>
      </c>
      <c r="AJ8" s="54" t="s">
        <v>87</v>
      </c>
      <c r="AK8" s="54" t="s">
        <v>87</v>
      </c>
      <c r="AL8" s="54" t="s">
        <v>87</v>
      </c>
      <c r="AM8" s="42" t="s">
        <v>276</v>
      </c>
      <c r="AN8" s="42" t="s">
        <v>87</v>
      </c>
      <c r="AO8" s="54" t="s">
        <v>87</v>
      </c>
      <c r="AP8" s="54" t="s">
        <v>87</v>
      </c>
      <c r="AQ8" s="54" t="s">
        <v>87</v>
      </c>
      <c r="AR8" s="54" t="s">
        <v>87</v>
      </c>
      <c r="AS8" s="54" t="s">
        <v>87</v>
      </c>
      <c r="AT8" s="54" t="s">
        <v>87</v>
      </c>
      <c r="AU8" s="42">
        <v>120</v>
      </c>
      <c r="AV8" s="42" t="s">
        <v>134</v>
      </c>
      <c r="AW8" s="54" t="s">
        <v>87</v>
      </c>
      <c r="AX8" s="53">
        <v>0</v>
      </c>
      <c r="AY8" s="52">
        <v>6.4000000000000001E-2</v>
      </c>
      <c r="AZ8" s="53">
        <v>0.28000000000000003</v>
      </c>
      <c r="BA8" s="52">
        <v>0.91</v>
      </c>
      <c r="BB8" s="52">
        <v>0.69399999999999995</v>
      </c>
      <c r="BC8" s="52">
        <v>0.56299999999999994</v>
      </c>
      <c r="BD8" s="52">
        <v>0.82499999999999996</v>
      </c>
      <c r="BE8" s="64">
        <v>0.61899999999999999</v>
      </c>
      <c r="BF8" s="52">
        <v>0.502</v>
      </c>
      <c r="BG8" s="64" t="s">
        <v>87</v>
      </c>
      <c r="BH8" s="66" t="s">
        <v>87</v>
      </c>
      <c r="BI8" s="66" t="s">
        <v>87</v>
      </c>
      <c r="BJ8" s="54" t="s">
        <v>87</v>
      </c>
      <c r="BK8" s="52">
        <v>0.72699999999999998</v>
      </c>
      <c r="BL8" s="59" t="s">
        <v>277</v>
      </c>
      <c r="BM8" s="42">
        <v>51</v>
      </c>
      <c r="BN8" s="53">
        <v>0.7</v>
      </c>
      <c r="BO8" s="52">
        <v>0.55800000000000005</v>
      </c>
      <c r="BP8" s="54" t="s">
        <v>87</v>
      </c>
      <c r="BQ8" s="42" t="s">
        <v>276</v>
      </c>
      <c r="BR8" s="54" t="s">
        <v>87</v>
      </c>
      <c r="BS8" s="54" t="s">
        <v>87</v>
      </c>
      <c r="BT8" s="54" t="s">
        <v>87</v>
      </c>
      <c r="BU8" s="54">
        <v>390</v>
      </c>
      <c r="BV8" s="42">
        <v>7</v>
      </c>
      <c r="BW8" s="54" t="s">
        <v>87</v>
      </c>
      <c r="BX8" s="54" t="s">
        <v>87</v>
      </c>
      <c r="BY8" s="42" t="s">
        <v>73</v>
      </c>
      <c r="BZ8" s="42" t="s">
        <v>73</v>
      </c>
      <c r="CA8" s="42"/>
    </row>
    <row r="9" spans="1:92" ht="32" x14ac:dyDescent="0.2">
      <c r="A9" s="74"/>
      <c r="B9" s="55" t="s">
        <v>135</v>
      </c>
      <c r="C9" s="42" t="s">
        <v>136</v>
      </c>
      <c r="D9" s="58" t="s">
        <v>137</v>
      </c>
      <c r="E9" s="42" t="s">
        <v>138</v>
      </c>
      <c r="F9" s="42"/>
      <c r="G9" s="42" t="s">
        <v>139</v>
      </c>
      <c r="H9" s="42">
        <v>2015</v>
      </c>
      <c r="I9" s="42" t="s">
        <v>81</v>
      </c>
      <c r="J9" s="42" t="s">
        <v>140</v>
      </c>
      <c r="K9" s="42" t="s">
        <v>108</v>
      </c>
      <c r="L9" s="42"/>
      <c r="M9" s="42">
        <v>232</v>
      </c>
      <c r="N9" s="42">
        <v>153</v>
      </c>
      <c r="O9" s="42" t="s">
        <v>116</v>
      </c>
      <c r="P9" s="42" t="s">
        <v>117</v>
      </c>
      <c r="Q9" s="42">
        <v>142</v>
      </c>
      <c r="R9" s="42">
        <v>99</v>
      </c>
      <c r="S9" s="42" t="s">
        <v>87</v>
      </c>
      <c r="T9" s="42">
        <v>28</v>
      </c>
      <c r="U9" s="53">
        <v>0.38</v>
      </c>
      <c r="V9" s="42" t="s">
        <v>87</v>
      </c>
      <c r="W9" s="53">
        <v>0.08</v>
      </c>
      <c r="X9" s="52">
        <v>0.81</v>
      </c>
      <c r="Y9" s="52">
        <v>0.53</v>
      </c>
      <c r="Z9" s="52">
        <v>0.36</v>
      </c>
      <c r="AA9" s="52">
        <v>0.74</v>
      </c>
      <c r="AB9" s="52">
        <v>0.48</v>
      </c>
      <c r="AC9" s="52">
        <v>0.28999999999999998</v>
      </c>
      <c r="AD9" s="69">
        <v>0.74299999999999999</v>
      </c>
      <c r="AE9" s="52">
        <v>0.38700000000000001</v>
      </c>
      <c r="AF9" s="52">
        <v>0.23799999999999999</v>
      </c>
      <c r="AG9" s="54" t="s">
        <v>87</v>
      </c>
      <c r="AH9" s="54" t="s">
        <v>87</v>
      </c>
      <c r="AI9" s="42">
        <v>63.3</v>
      </c>
      <c r="AJ9" s="53">
        <v>0.65</v>
      </c>
      <c r="AK9" s="42">
        <v>0</v>
      </c>
      <c r="AL9" s="54" t="s">
        <v>87</v>
      </c>
      <c r="AM9" s="42" t="s">
        <v>278</v>
      </c>
      <c r="AN9" s="54" t="s">
        <v>87</v>
      </c>
      <c r="AO9" s="54" t="s">
        <v>87</v>
      </c>
      <c r="AP9" s="54" t="s">
        <v>87</v>
      </c>
      <c r="AQ9" s="54" t="s">
        <v>87</v>
      </c>
      <c r="AR9" s="54" t="s">
        <v>87</v>
      </c>
      <c r="AS9" s="54" t="s">
        <v>87</v>
      </c>
      <c r="AT9" s="42">
        <v>90</v>
      </c>
      <c r="AU9" s="42">
        <v>54</v>
      </c>
      <c r="AV9" s="42" t="s">
        <v>120</v>
      </c>
      <c r="AW9" s="42">
        <v>10</v>
      </c>
      <c r="AX9" s="53">
        <v>0.02</v>
      </c>
      <c r="AY9" s="53">
        <v>0</v>
      </c>
      <c r="AZ9" s="53">
        <v>0.4</v>
      </c>
      <c r="BA9" s="52">
        <v>0.9</v>
      </c>
      <c r="BB9" s="52">
        <v>0.71</v>
      </c>
      <c r="BC9" s="52">
        <v>0.59</v>
      </c>
      <c r="BD9" s="52">
        <v>0.87</v>
      </c>
      <c r="BE9" s="52">
        <v>0.64</v>
      </c>
      <c r="BF9" s="52">
        <v>0.54</v>
      </c>
      <c r="BG9" s="52">
        <v>0.81200000000000006</v>
      </c>
      <c r="BH9" s="52">
        <v>0.48499999999999999</v>
      </c>
      <c r="BI9" s="52">
        <v>0.36099999999999999</v>
      </c>
      <c r="BJ9" s="54" t="s">
        <v>87</v>
      </c>
      <c r="BK9" s="54" t="s">
        <v>87</v>
      </c>
      <c r="BL9" s="42" t="s">
        <v>279</v>
      </c>
      <c r="BM9" s="42">
        <v>54.1</v>
      </c>
      <c r="BN9" s="53">
        <v>0.74</v>
      </c>
      <c r="BO9" s="42">
        <v>0</v>
      </c>
      <c r="BP9" s="54" t="s">
        <v>87</v>
      </c>
      <c r="BQ9" s="42" t="s">
        <v>276</v>
      </c>
      <c r="BR9" s="54" t="s">
        <v>87</v>
      </c>
      <c r="BS9" s="54" t="s">
        <v>87</v>
      </c>
      <c r="BT9" s="54" t="s">
        <v>87</v>
      </c>
      <c r="BU9" s="54" t="s">
        <v>87</v>
      </c>
      <c r="BV9" s="54" t="s">
        <v>87</v>
      </c>
      <c r="BW9" s="54" t="s">
        <v>87</v>
      </c>
      <c r="BX9" s="54" t="s">
        <v>87</v>
      </c>
      <c r="BY9" s="42" t="s">
        <v>73</v>
      </c>
      <c r="BZ9" s="42" t="s">
        <v>74</v>
      </c>
      <c r="CA9" s="65" t="s">
        <v>302</v>
      </c>
    </row>
    <row r="10" spans="1:92" ht="32" x14ac:dyDescent="0.2">
      <c r="A10" s="74"/>
      <c r="B10" s="55" t="s">
        <v>142</v>
      </c>
      <c r="C10" s="42" t="s">
        <v>143</v>
      </c>
      <c r="D10" s="58" t="s">
        <v>144</v>
      </c>
      <c r="E10" s="42" t="s">
        <v>138</v>
      </c>
      <c r="F10" s="42"/>
      <c r="G10" s="42" t="s">
        <v>145</v>
      </c>
      <c r="H10" s="42">
        <v>1998</v>
      </c>
      <c r="I10" s="42" t="s">
        <v>81</v>
      </c>
      <c r="J10" s="42" t="s">
        <v>146</v>
      </c>
      <c r="K10" s="42" t="s">
        <v>147</v>
      </c>
      <c r="L10" s="42"/>
      <c r="M10" s="41">
        <v>72</v>
      </c>
      <c r="N10" s="42">
        <v>61</v>
      </c>
      <c r="O10" s="42" t="s">
        <v>85</v>
      </c>
      <c r="P10" s="42" t="s">
        <v>86</v>
      </c>
      <c r="Q10" s="54" t="s">
        <v>87</v>
      </c>
      <c r="R10" s="42">
        <v>34</v>
      </c>
      <c r="S10" s="42" t="s">
        <v>281</v>
      </c>
      <c r="T10" s="54" t="s">
        <v>87</v>
      </c>
      <c r="U10" s="53">
        <v>0.41</v>
      </c>
      <c r="V10" s="42">
        <v>9</v>
      </c>
      <c r="W10" s="53">
        <v>0.41</v>
      </c>
      <c r="X10" s="52">
        <v>0.73499999999999999</v>
      </c>
      <c r="Y10" s="52">
        <v>0.33900000000000002</v>
      </c>
      <c r="Z10" s="52">
        <v>9.0999999999999998E-2</v>
      </c>
      <c r="AA10" s="64" t="s">
        <v>87</v>
      </c>
      <c r="AB10" s="64" t="s">
        <v>87</v>
      </c>
      <c r="AC10" s="64" t="s">
        <v>87</v>
      </c>
      <c r="AD10" s="64" t="s">
        <v>87</v>
      </c>
      <c r="AE10" s="66" t="s">
        <v>87</v>
      </c>
      <c r="AF10" s="66" t="s">
        <v>87</v>
      </c>
      <c r="AG10" s="54" t="s">
        <v>87</v>
      </c>
      <c r="AH10" s="54" t="s">
        <v>87</v>
      </c>
      <c r="AI10" s="54" t="s">
        <v>87</v>
      </c>
      <c r="AJ10" s="52">
        <v>0.52900000000000003</v>
      </c>
      <c r="AK10" s="54" t="s">
        <v>87</v>
      </c>
      <c r="AL10" s="54" t="s">
        <v>87</v>
      </c>
      <c r="AM10" s="54" t="s">
        <v>87</v>
      </c>
      <c r="AN10" s="54" t="s">
        <v>87</v>
      </c>
      <c r="AO10" s="54" t="s">
        <v>87</v>
      </c>
      <c r="AP10" s="54" t="s">
        <v>87</v>
      </c>
      <c r="AQ10" s="54" t="s">
        <v>87</v>
      </c>
      <c r="AR10" s="54" t="s">
        <v>87</v>
      </c>
      <c r="AS10" s="54" t="s">
        <v>87</v>
      </c>
      <c r="AT10" s="42">
        <v>27</v>
      </c>
      <c r="AU10" s="42">
        <v>27</v>
      </c>
      <c r="AV10" s="42" t="s">
        <v>282</v>
      </c>
      <c r="AW10" s="54" t="s">
        <v>87</v>
      </c>
      <c r="AX10" s="53">
        <v>0.22</v>
      </c>
      <c r="AY10" s="53">
        <v>0.22</v>
      </c>
      <c r="AZ10" s="42" t="s">
        <v>133</v>
      </c>
      <c r="BA10" s="52">
        <v>0.59299999999999997</v>
      </c>
      <c r="BB10" s="52">
        <v>0.36199999999999999</v>
      </c>
      <c r="BC10" s="52">
        <v>0.36199999999999999</v>
      </c>
      <c r="BD10" s="64" t="s">
        <v>87</v>
      </c>
      <c r="BE10" s="64" t="s">
        <v>87</v>
      </c>
      <c r="BF10" s="64" t="s">
        <v>87</v>
      </c>
      <c r="BG10" s="64" t="s">
        <v>87</v>
      </c>
      <c r="BH10" s="66" t="s">
        <v>87</v>
      </c>
      <c r="BI10" s="66" t="s">
        <v>87</v>
      </c>
      <c r="BJ10" s="54" t="s">
        <v>87</v>
      </c>
      <c r="BK10" s="54" t="s">
        <v>87</v>
      </c>
      <c r="BL10" s="54" t="s">
        <v>87</v>
      </c>
      <c r="BM10" s="54" t="s">
        <v>87</v>
      </c>
      <c r="BN10" s="42" t="s">
        <v>87</v>
      </c>
      <c r="BO10" s="52">
        <v>0.48180000000000001</v>
      </c>
      <c r="BP10" s="54" t="s">
        <v>87</v>
      </c>
      <c r="BQ10" s="54" t="s">
        <v>87</v>
      </c>
      <c r="BR10" s="54" t="s">
        <v>87</v>
      </c>
      <c r="BS10" s="54" t="s">
        <v>87</v>
      </c>
      <c r="BT10" s="54" t="s">
        <v>87</v>
      </c>
      <c r="BU10" s="54" t="s">
        <v>87</v>
      </c>
      <c r="BV10" s="54" t="s">
        <v>87</v>
      </c>
      <c r="BW10" s="54" t="s">
        <v>87</v>
      </c>
      <c r="BX10" s="54" t="s">
        <v>87</v>
      </c>
      <c r="BY10" s="42" t="s">
        <v>73</v>
      </c>
      <c r="BZ10" s="42" t="s">
        <v>74</v>
      </c>
      <c r="CA10" s="60"/>
      <c r="CB10" s="61"/>
    </row>
    <row r="11" spans="1:92" ht="32" x14ac:dyDescent="0.2">
      <c r="A11" s="74"/>
      <c r="B11" s="55" t="s">
        <v>149</v>
      </c>
      <c r="C11" s="42" t="s">
        <v>150</v>
      </c>
      <c r="D11" s="58" t="s">
        <v>151</v>
      </c>
      <c r="E11" s="42" t="s">
        <v>152</v>
      </c>
      <c r="F11" s="42"/>
      <c r="G11" s="42" t="s">
        <v>153</v>
      </c>
      <c r="H11" s="42">
        <v>2010</v>
      </c>
      <c r="I11" s="42" t="s">
        <v>106</v>
      </c>
      <c r="J11" s="42" t="s">
        <v>283</v>
      </c>
      <c r="K11" s="42" t="s">
        <v>148</v>
      </c>
      <c r="L11" s="42"/>
      <c r="M11" s="42">
        <v>75</v>
      </c>
      <c r="N11" s="42">
        <v>55</v>
      </c>
      <c r="O11" s="42" t="s">
        <v>85</v>
      </c>
      <c r="P11" s="42" t="s">
        <v>86</v>
      </c>
      <c r="Q11" s="42" t="s">
        <v>87</v>
      </c>
      <c r="R11" s="42">
        <v>29</v>
      </c>
      <c r="S11" s="42" t="s">
        <v>305</v>
      </c>
      <c r="T11" s="42" t="s">
        <v>87</v>
      </c>
      <c r="U11" s="53">
        <v>0.34</v>
      </c>
      <c r="V11" s="42">
        <v>5</v>
      </c>
      <c r="W11" s="53">
        <v>0.17</v>
      </c>
      <c r="X11" s="52">
        <v>0.85</v>
      </c>
      <c r="Y11" s="52">
        <v>0.63200000000000001</v>
      </c>
      <c r="Z11" s="52">
        <v>0.432</v>
      </c>
      <c r="AA11" s="52">
        <v>0.65</v>
      </c>
      <c r="AB11" s="52">
        <v>0.35</v>
      </c>
      <c r="AC11" s="52">
        <v>0.19</v>
      </c>
      <c r="AD11" s="64" t="s">
        <v>87</v>
      </c>
      <c r="AE11" s="66" t="s">
        <v>87</v>
      </c>
      <c r="AF11" s="66" t="s">
        <v>87</v>
      </c>
      <c r="AG11" s="52">
        <v>3.4000000000000002E-2</v>
      </c>
      <c r="AH11" s="42" t="s">
        <v>87</v>
      </c>
      <c r="AI11" s="42">
        <v>64</v>
      </c>
      <c r="AJ11" s="53">
        <v>0.48</v>
      </c>
      <c r="AK11" s="54" t="s">
        <v>87</v>
      </c>
      <c r="AL11" s="54" t="s">
        <v>87</v>
      </c>
      <c r="AM11" s="54" t="s">
        <v>154</v>
      </c>
      <c r="AN11" s="53">
        <v>0.17</v>
      </c>
      <c r="AO11" s="54" t="s">
        <v>87</v>
      </c>
      <c r="AP11" s="42">
        <v>382</v>
      </c>
      <c r="AQ11" s="54" t="s">
        <v>87</v>
      </c>
      <c r="AR11" s="54" t="s">
        <v>87</v>
      </c>
      <c r="AS11" s="54" t="s">
        <v>87</v>
      </c>
      <c r="AT11" s="42">
        <v>11</v>
      </c>
      <c r="AU11" s="42">
        <v>11</v>
      </c>
      <c r="AV11" s="42" t="s">
        <v>306</v>
      </c>
      <c r="AW11" s="42" t="s">
        <v>87</v>
      </c>
      <c r="AX11" s="53">
        <v>0.18</v>
      </c>
      <c r="AY11" s="53">
        <v>0</v>
      </c>
      <c r="AZ11" s="53">
        <v>0</v>
      </c>
      <c r="BA11" s="52">
        <v>0.83199999999999996</v>
      </c>
      <c r="BB11" s="52">
        <v>0.5</v>
      </c>
      <c r="BC11" s="52">
        <v>0.5</v>
      </c>
      <c r="BD11" s="52">
        <v>0.75</v>
      </c>
      <c r="BE11" s="52">
        <v>0.4</v>
      </c>
      <c r="BF11" s="52">
        <v>0.2</v>
      </c>
      <c r="BG11" s="64" t="s">
        <v>87</v>
      </c>
      <c r="BH11" s="66" t="s">
        <v>87</v>
      </c>
      <c r="BI11" s="66" t="s">
        <v>87</v>
      </c>
      <c r="BJ11" s="53">
        <v>0</v>
      </c>
      <c r="BK11" s="54" t="s">
        <v>87</v>
      </c>
      <c r="BL11" s="54" t="s">
        <v>87</v>
      </c>
      <c r="BM11" s="42">
        <v>51</v>
      </c>
      <c r="BN11" s="53">
        <v>0.91</v>
      </c>
      <c r="BO11" s="54" t="s">
        <v>87</v>
      </c>
      <c r="BP11" s="54" t="s">
        <v>87</v>
      </c>
      <c r="BQ11" s="42" t="s">
        <v>155</v>
      </c>
      <c r="BR11" s="42">
        <v>1</v>
      </c>
      <c r="BS11" s="54" t="s">
        <v>87</v>
      </c>
      <c r="BT11" s="42">
        <v>371</v>
      </c>
      <c r="BU11" s="54" t="s">
        <v>87</v>
      </c>
      <c r="BV11" s="54" t="s">
        <v>87</v>
      </c>
      <c r="BW11" s="54" t="s">
        <v>87</v>
      </c>
      <c r="BX11" s="54" t="s">
        <v>87</v>
      </c>
      <c r="BY11" s="42" t="s">
        <v>73</v>
      </c>
      <c r="BZ11" s="42" t="s">
        <v>74</v>
      </c>
      <c r="CA11" s="60"/>
    </row>
    <row r="12" spans="1:92" ht="33" thickBot="1" x14ac:dyDescent="0.25">
      <c r="A12" s="75"/>
      <c r="B12" s="55" t="s">
        <v>156</v>
      </c>
      <c r="C12" s="42" t="s">
        <v>157</v>
      </c>
      <c r="D12" s="58" t="s">
        <v>158</v>
      </c>
      <c r="E12" s="42" t="s">
        <v>113</v>
      </c>
      <c r="F12" s="42"/>
      <c r="G12" s="42" t="s">
        <v>159</v>
      </c>
      <c r="H12" s="42">
        <v>1996</v>
      </c>
      <c r="I12" s="42" t="s">
        <v>106</v>
      </c>
      <c r="J12" s="42" t="s">
        <v>160</v>
      </c>
      <c r="K12" s="42" t="s">
        <v>141</v>
      </c>
      <c r="L12" s="42"/>
      <c r="M12" s="42">
        <v>249</v>
      </c>
      <c r="N12" s="42">
        <v>150</v>
      </c>
      <c r="O12" s="42" t="s">
        <v>85</v>
      </c>
      <c r="P12" s="42" t="s">
        <v>86</v>
      </c>
      <c r="Q12" s="42" t="s">
        <v>87</v>
      </c>
      <c r="R12" s="42">
        <v>125</v>
      </c>
      <c r="S12" s="42" t="s">
        <v>87</v>
      </c>
      <c r="T12" s="42" t="s">
        <v>87</v>
      </c>
      <c r="U12" s="42">
        <v>30.4</v>
      </c>
      <c r="V12" s="42">
        <v>36</v>
      </c>
      <c r="W12" s="52">
        <v>0.216</v>
      </c>
      <c r="X12" s="52">
        <v>0.65</v>
      </c>
      <c r="Y12" s="52">
        <v>0.33400000000000002</v>
      </c>
      <c r="Z12" s="52">
        <v>0.27100000000000002</v>
      </c>
      <c r="AA12" s="52" t="s">
        <v>87</v>
      </c>
      <c r="AB12" s="52" t="s">
        <v>87</v>
      </c>
      <c r="AC12" s="52" t="s">
        <v>87</v>
      </c>
      <c r="AD12" s="64" t="s">
        <v>87</v>
      </c>
      <c r="AE12" s="66" t="s">
        <v>87</v>
      </c>
      <c r="AF12" s="66" t="s">
        <v>87</v>
      </c>
      <c r="AG12" s="52">
        <v>0.105</v>
      </c>
      <c r="AH12" s="42" t="s">
        <v>87</v>
      </c>
      <c r="AI12" s="42" t="s">
        <v>87</v>
      </c>
      <c r="AJ12" s="42" t="s">
        <v>87</v>
      </c>
      <c r="AK12" s="42" t="s">
        <v>87</v>
      </c>
      <c r="AL12" s="42" t="s">
        <v>87</v>
      </c>
      <c r="AM12" s="42" t="s">
        <v>87</v>
      </c>
      <c r="AN12" s="42" t="s">
        <v>87</v>
      </c>
      <c r="AO12" s="54" t="s">
        <v>87</v>
      </c>
      <c r="AP12" s="54" t="s">
        <v>87</v>
      </c>
      <c r="AQ12" s="54" t="s">
        <v>87</v>
      </c>
      <c r="AR12" s="54" t="s">
        <v>87</v>
      </c>
      <c r="AS12" s="54" t="s">
        <v>87</v>
      </c>
      <c r="AT12" s="42" t="s">
        <v>87</v>
      </c>
      <c r="AU12" s="42">
        <v>25</v>
      </c>
      <c r="AV12" s="42" t="s">
        <v>87</v>
      </c>
      <c r="AW12" s="42" t="s">
        <v>87</v>
      </c>
      <c r="AX12" s="53">
        <v>0.32</v>
      </c>
      <c r="AY12" s="42" t="s">
        <v>87</v>
      </c>
      <c r="AZ12" s="62" t="s">
        <v>87</v>
      </c>
      <c r="BA12" s="52">
        <v>0.6</v>
      </c>
      <c r="BB12" s="52">
        <v>0.214</v>
      </c>
      <c r="BC12" s="52">
        <v>0.17100000000000001</v>
      </c>
      <c r="BD12" s="52" t="s">
        <v>87</v>
      </c>
      <c r="BE12" s="52" t="s">
        <v>87</v>
      </c>
      <c r="BF12" s="52" t="s">
        <v>87</v>
      </c>
      <c r="BG12" s="64" t="s">
        <v>87</v>
      </c>
      <c r="BH12" s="66" t="s">
        <v>87</v>
      </c>
      <c r="BI12" s="66" t="s">
        <v>87</v>
      </c>
      <c r="BJ12" s="53">
        <v>0.12</v>
      </c>
      <c r="BK12" s="42" t="s">
        <v>87</v>
      </c>
      <c r="BL12" s="42" t="s">
        <v>87</v>
      </c>
      <c r="BM12" s="42" t="s">
        <v>87</v>
      </c>
      <c r="BN12" s="42" t="s">
        <v>87</v>
      </c>
      <c r="BO12" s="42" t="s">
        <v>87</v>
      </c>
      <c r="BP12" s="42" t="s">
        <v>87</v>
      </c>
      <c r="BQ12" s="42" t="s">
        <v>87</v>
      </c>
      <c r="BR12" s="42" t="s">
        <v>87</v>
      </c>
      <c r="BS12" s="42" t="s">
        <v>87</v>
      </c>
      <c r="BT12" s="42" t="s">
        <v>87</v>
      </c>
      <c r="BU12" s="42" t="s">
        <v>87</v>
      </c>
      <c r="BV12" s="42" t="s">
        <v>87</v>
      </c>
      <c r="BW12" s="42" t="s">
        <v>87</v>
      </c>
      <c r="BX12" s="42" t="s">
        <v>87</v>
      </c>
      <c r="BY12" s="42" t="s">
        <v>73</v>
      </c>
      <c r="BZ12" s="42" t="s">
        <v>74</v>
      </c>
      <c r="CA12" s="65" t="s">
        <v>307</v>
      </c>
    </row>
    <row r="13" spans="1:92" x14ac:dyDescent="0.2">
      <c r="O13" s="41"/>
      <c r="P13" s="41"/>
      <c r="Q13" s="41"/>
      <c r="R13" s="41"/>
      <c r="S13" s="41"/>
      <c r="T13" s="41"/>
      <c r="U13" s="41"/>
      <c r="V13" s="41"/>
      <c r="W13" s="41"/>
      <c r="X13" s="67"/>
      <c r="Y13" s="67"/>
      <c r="Z13" s="67"/>
      <c r="AA13" s="67"/>
      <c r="AB13" s="67"/>
      <c r="AC13" s="67"/>
      <c r="AD13" s="67"/>
      <c r="AE13" s="67"/>
      <c r="AF13" s="67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67"/>
      <c r="BB13" s="67"/>
      <c r="BC13" s="67"/>
      <c r="BD13" s="67"/>
      <c r="BE13" s="67"/>
      <c r="BF13" s="67"/>
      <c r="BG13" s="67"/>
      <c r="BH13" s="67"/>
      <c r="BI13" s="67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  <c r="CA13" s="41"/>
    </row>
  </sheetData>
  <mergeCells count="1">
    <mergeCell ref="A3:A12"/>
  </mergeCells>
  <phoneticPr fontId="9" type="noConversion"/>
  <conditionalFormatting sqref="A2:BZ2">
    <cfRule type="containsText" dxfId="2" priority="2" operator="containsText" text="NO">
      <formula>NOT(ISERROR(SEARCH("NO",A2)))</formula>
    </cfRule>
  </conditionalFormatting>
  <conditionalFormatting sqref="A2:CA2 AZ12 B13:CA13">
    <cfRule type="containsText" dxfId="1" priority="1" operator="containsText" text="YES">
      <formula>NOT(ISERROR(SEARCH("YES",A2)))</formula>
    </cfRule>
  </conditionalFormatting>
  <conditionalFormatting sqref="C14:K14 B14:B1048576 C18:D18">
    <cfRule type="containsText" dxfId="0" priority="3" operator="containsText" text="YES">
      <formula>NOT(ISERROR(SEARCH("YES",B14)))</formula>
    </cfRule>
  </conditionalFormatting>
  <hyperlinks>
    <hyperlink ref="D5" r:id="rId1" xr:uid="{7BCCD5C7-4DD5-C541-B36C-EC288C9D75DB}"/>
    <hyperlink ref="D6" r:id="rId2" display="https://doi.org/10.1097/sla.0000000000002574" xr:uid="{9A736A78-A1D5-8843-A237-F66E01F7830F}"/>
    <hyperlink ref="D7" r:id="rId3" xr:uid="{EA5DF82A-9DCC-9C45-BA68-11860A830EF3}"/>
    <hyperlink ref="D9" r:id="rId4" xr:uid="{CB0BCC8E-7AAA-6E4A-AE9D-057B75D0468C}"/>
    <hyperlink ref="D10" r:id="rId5" xr:uid="{C3561B81-BF80-6449-A9CE-103CB456F852}"/>
    <hyperlink ref="D11" r:id="rId6" xr:uid="{CE18DC56-9D05-E44B-A137-78B0A1756EDB}"/>
    <hyperlink ref="D12" r:id="rId7" xr:uid="{1DF5352B-F735-1F46-AA38-3FB102DF992B}"/>
    <hyperlink ref="D8" r:id="rId8" xr:uid="{ADC3DECC-471E-D74B-98B6-78AF6C46D1E0}"/>
    <hyperlink ref="D3" r:id="rId9" xr:uid="{2959E793-2BCC-2846-AC23-64A781AACB6D}"/>
    <hyperlink ref="D4" r:id="rId10" xr:uid="{DE4DE826-61A0-9744-9848-2EAC746AEBD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71"/>
  <sheetViews>
    <sheetView topLeftCell="A57" zoomScale="125" zoomScaleNormal="173" workbookViewId="0">
      <selection activeCell="B71" sqref="B71"/>
    </sheetView>
  </sheetViews>
  <sheetFormatPr baseColWidth="10" defaultColWidth="8.83203125" defaultRowHeight="15" x14ac:dyDescent="0.2"/>
  <cols>
    <col min="1" max="1" width="30.33203125" style="5" customWidth="1"/>
    <col min="2" max="2" width="83.83203125" bestFit="1" customWidth="1"/>
    <col min="3" max="3" width="129.33203125" customWidth="1"/>
    <col min="5" max="8" width="10.5" customWidth="1"/>
    <col min="10" max="10" width="15.1640625" customWidth="1"/>
    <col min="11" max="12" width="12.83203125" customWidth="1"/>
    <col min="13" max="13" width="14" customWidth="1"/>
    <col min="14" max="14" width="15.1640625" customWidth="1"/>
    <col min="15" max="15" width="18.6640625" customWidth="1"/>
    <col min="16" max="16" width="26.83203125" customWidth="1"/>
    <col min="17" max="17" width="18.6640625" customWidth="1"/>
    <col min="18" max="18" width="16.33203125" customWidth="1"/>
    <col min="19" max="19" width="24.5" customWidth="1"/>
    <col min="20" max="20" width="22.1640625" customWidth="1"/>
    <col min="21" max="23" width="16.33203125" customWidth="1"/>
    <col min="24" max="26" width="17.5" customWidth="1"/>
    <col min="27" max="27" width="9.33203125" customWidth="1"/>
    <col min="28" max="28" width="10.5" customWidth="1"/>
    <col min="29" max="29" width="23.33203125" customWidth="1"/>
    <col min="30" max="31" width="24.5" customWidth="1"/>
    <col min="32" max="32" width="26.83203125" customWidth="1"/>
    <col min="33" max="33" width="18.6640625" customWidth="1"/>
    <col min="34" max="34" width="12.83203125" customWidth="1"/>
    <col min="35" max="35" width="17.5" customWidth="1"/>
    <col min="36" max="36" width="25.6640625" customWidth="1"/>
    <col min="37" max="37" width="15.1640625" customWidth="1"/>
    <col min="38" max="38" width="24.5" customWidth="1"/>
    <col min="39" max="39" width="21" customWidth="1"/>
    <col min="40" max="40" width="14" customWidth="1"/>
    <col min="41" max="41" width="17.5" customWidth="1"/>
    <col min="42" max="42" width="23.33203125" customWidth="1"/>
    <col min="43" max="43" width="16.33203125" customWidth="1"/>
    <col min="44" max="45" width="24.5" customWidth="1"/>
  </cols>
  <sheetData>
    <row r="1" spans="1:45" ht="17" thickBot="1" x14ac:dyDescent="0.25">
      <c r="A1" s="19" t="s">
        <v>161</v>
      </c>
      <c r="B1" s="20" t="s">
        <v>162</v>
      </c>
      <c r="C1" s="21" t="s">
        <v>163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</row>
    <row r="2" spans="1:45" ht="16" x14ac:dyDescent="0.2">
      <c r="A2" s="14" t="s">
        <v>164</v>
      </c>
      <c r="B2" s="32" t="s">
        <v>165</v>
      </c>
      <c r="C2" s="31" t="s">
        <v>166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</row>
    <row r="3" spans="1:45" ht="16" x14ac:dyDescent="0.2">
      <c r="A3" s="15" t="s">
        <v>167</v>
      </c>
      <c r="B3" s="6" t="s">
        <v>168</v>
      </c>
      <c r="C3" s="26" t="s">
        <v>169</v>
      </c>
    </row>
    <row r="4" spans="1:45" ht="16" x14ac:dyDescent="0.2">
      <c r="A4" s="15" t="s">
        <v>2</v>
      </c>
      <c r="B4" s="7" t="s">
        <v>170</v>
      </c>
      <c r="C4" s="30" t="s">
        <v>170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</row>
    <row r="5" spans="1:45" ht="16" x14ac:dyDescent="0.2">
      <c r="A5" s="15" t="s">
        <v>3</v>
      </c>
      <c r="B5" s="8" t="s">
        <v>171</v>
      </c>
      <c r="C5" s="30" t="s">
        <v>172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</row>
    <row r="6" spans="1:45" ht="16" x14ac:dyDescent="0.2">
      <c r="A6" s="15" t="s">
        <v>4</v>
      </c>
      <c r="B6" s="6" t="s">
        <v>173</v>
      </c>
      <c r="C6" s="26"/>
    </row>
    <row r="7" spans="1:45" ht="16" x14ac:dyDescent="0.2">
      <c r="A7" s="15" t="s">
        <v>5</v>
      </c>
      <c r="B7" s="6" t="s">
        <v>174</v>
      </c>
      <c r="C7" s="26" t="s">
        <v>175</v>
      </c>
    </row>
    <row r="8" spans="1:45" ht="16" x14ac:dyDescent="0.2">
      <c r="A8" s="15" t="s">
        <v>6</v>
      </c>
      <c r="B8" s="8" t="s">
        <v>176</v>
      </c>
      <c r="C8" s="26" t="s">
        <v>177</v>
      </c>
    </row>
    <row r="9" spans="1:45" ht="16" x14ac:dyDescent="0.2">
      <c r="A9" s="15" t="s">
        <v>7</v>
      </c>
      <c r="B9" s="6" t="s">
        <v>178</v>
      </c>
      <c r="C9" s="26" t="s">
        <v>179</v>
      </c>
    </row>
    <row r="10" spans="1:45" ht="16" x14ac:dyDescent="0.2">
      <c r="A10" s="15" t="s">
        <v>8</v>
      </c>
      <c r="B10" s="6" t="s">
        <v>180</v>
      </c>
      <c r="C10" s="26" t="s">
        <v>181</v>
      </c>
    </row>
    <row r="11" spans="1:45" ht="16" x14ac:dyDescent="0.2">
      <c r="A11" s="15" t="s">
        <v>9</v>
      </c>
      <c r="B11" s="6" t="s">
        <v>182</v>
      </c>
      <c r="C11" s="26" t="s">
        <v>183</v>
      </c>
    </row>
    <row r="12" spans="1:45" ht="16" x14ac:dyDescent="0.2">
      <c r="A12" s="15" t="s">
        <v>10</v>
      </c>
      <c r="B12" s="9" t="s">
        <v>184</v>
      </c>
      <c r="C12" s="26" t="s">
        <v>185</v>
      </c>
    </row>
    <row r="13" spans="1:45" ht="16" x14ac:dyDescent="0.2">
      <c r="A13" s="17" t="s">
        <v>11</v>
      </c>
      <c r="B13" s="33" t="s">
        <v>186</v>
      </c>
      <c r="C13" s="29" t="s">
        <v>187</v>
      </c>
    </row>
    <row r="14" spans="1:45" ht="16" x14ac:dyDescent="0.2">
      <c r="A14" s="15" t="s">
        <v>12</v>
      </c>
      <c r="B14" s="6" t="s">
        <v>188</v>
      </c>
      <c r="C14" s="26" t="s">
        <v>187</v>
      </c>
    </row>
    <row r="15" spans="1:45" ht="16" x14ac:dyDescent="0.2">
      <c r="A15" s="15" t="s">
        <v>13</v>
      </c>
      <c r="B15" s="6" t="s">
        <v>189</v>
      </c>
      <c r="C15" s="26" t="s">
        <v>190</v>
      </c>
    </row>
    <row r="16" spans="1:45" ht="17" thickBot="1" x14ac:dyDescent="0.25">
      <c r="A16" s="16" t="s">
        <v>14</v>
      </c>
      <c r="B16" s="12" t="s">
        <v>191</v>
      </c>
      <c r="C16" s="13" t="s">
        <v>192</v>
      </c>
    </row>
    <row r="17" spans="1:3" ht="16" x14ac:dyDescent="0.2">
      <c r="A17" s="10" t="s">
        <v>15</v>
      </c>
      <c r="B17" s="28" t="s">
        <v>193</v>
      </c>
      <c r="C17" s="27" t="s">
        <v>187</v>
      </c>
    </row>
    <row r="18" spans="1:3" ht="16" x14ac:dyDescent="0.2">
      <c r="A18" s="11" t="s">
        <v>16</v>
      </c>
      <c r="B18" s="6" t="s">
        <v>194</v>
      </c>
      <c r="C18" s="26" t="s">
        <v>187</v>
      </c>
    </row>
    <row r="19" spans="1:3" ht="16" x14ac:dyDescent="0.2">
      <c r="A19" s="11" t="s">
        <v>17</v>
      </c>
      <c r="B19" s="6" t="s">
        <v>195</v>
      </c>
      <c r="C19" s="26" t="s">
        <v>196</v>
      </c>
    </row>
    <row r="20" spans="1:3" ht="16" x14ac:dyDescent="0.2">
      <c r="A20" s="11" t="s">
        <v>197</v>
      </c>
      <c r="B20" s="6" t="s">
        <v>198</v>
      </c>
      <c r="C20" s="26" t="s">
        <v>199</v>
      </c>
    </row>
    <row r="21" spans="1:3" ht="16" x14ac:dyDescent="0.2">
      <c r="A21" s="11" t="s">
        <v>19</v>
      </c>
      <c r="B21" s="6" t="s">
        <v>200</v>
      </c>
      <c r="C21" s="26" t="s">
        <v>201</v>
      </c>
    </row>
    <row r="22" spans="1:3" ht="16" x14ac:dyDescent="0.2">
      <c r="A22" s="11" t="s">
        <v>20</v>
      </c>
      <c r="B22" s="6" t="s">
        <v>202</v>
      </c>
      <c r="C22" s="26" t="s">
        <v>187</v>
      </c>
    </row>
    <row r="23" spans="1:3" ht="16" x14ac:dyDescent="0.2">
      <c r="A23" s="11" t="s">
        <v>203</v>
      </c>
      <c r="B23" s="6" t="s">
        <v>204</v>
      </c>
      <c r="C23" s="26" t="s">
        <v>205</v>
      </c>
    </row>
    <row r="24" spans="1:3" ht="16" x14ac:dyDescent="0.2">
      <c r="A24" s="11" t="s">
        <v>22</v>
      </c>
      <c r="B24" s="6" t="s">
        <v>206</v>
      </c>
      <c r="C24" s="26" t="s">
        <v>207</v>
      </c>
    </row>
    <row r="25" spans="1:3" ht="16" x14ac:dyDescent="0.2">
      <c r="A25" s="11" t="s">
        <v>23</v>
      </c>
      <c r="B25" s="6" t="s">
        <v>208</v>
      </c>
      <c r="C25" s="26" t="s">
        <v>207</v>
      </c>
    </row>
    <row r="26" spans="1:3" ht="16" x14ac:dyDescent="0.2">
      <c r="A26" s="11" t="s">
        <v>24</v>
      </c>
      <c r="B26" s="6" t="s">
        <v>209</v>
      </c>
      <c r="C26" s="26" t="s">
        <v>207</v>
      </c>
    </row>
    <row r="27" spans="1:3" ht="16" x14ac:dyDescent="0.2">
      <c r="A27" s="11" t="s">
        <v>25</v>
      </c>
      <c r="B27" s="6" t="s">
        <v>210</v>
      </c>
      <c r="C27" s="26" t="s">
        <v>211</v>
      </c>
    </row>
    <row r="28" spans="1:3" ht="16" x14ac:dyDescent="0.2">
      <c r="A28" s="11" t="s">
        <v>26</v>
      </c>
      <c r="B28" s="6" t="s">
        <v>212</v>
      </c>
      <c r="C28" s="26" t="s">
        <v>211</v>
      </c>
    </row>
    <row r="29" spans="1:3" ht="16" x14ac:dyDescent="0.2">
      <c r="A29" s="11" t="s">
        <v>27</v>
      </c>
      <c r="B29" s="6" t="s">
        <v>213</v>
      </c>
      <c r="C29" s="26" t="s">
        <v>211</v>
      </c>
    </row>
    <row r="30" spans="1:3" ht="16" x14ac:dyDescent="0.2">
      <c r="A30" s="11" t="s">
        <v>28</v>
      </c>
      <c r="B30" s="6" t="s">
        <v>214</v>
      </c>
      <c r="C30" s="26" t="s">
        <v>187</v>
      </c>
    </row>
    <row r="31" spans="1:3" ht="16" x14ac:dyDescent="0.2">
      <c r="A31" s="11" t="s">
        <v>29</v>
      </c>
      <c r="B31" s="6" t="s">
        <v>215</v>
      </c>
      <c r="C31" s="26" t="s">
        <v>216</v>
      </c>
    </row>
    <row r="32" spans="1:3" ht="16" x14ac:dyDescent="0.2">
      <c r="A32" s="22" t="s">
        <v>30</v>
      </c>
      <c r="B32" s="6" t="s">
        <v>217</v>
      </c>
      <c r="C32" s="26" t="s">
        <v>218</v>
      </c>
    </row>
    <row r="33" spans="1:3" ht="16" x14ac:dyDescent="0.2">
      <c r="A33" s="23" t="s">
        <v>31</v>
      </c>
      <c r="B33" s="9" t="s">
        <v>219</v>
      </c>
      <c r="C33" s="29" t="s">
        <v>220</v>
      </c>
    </row>
    <row r="34" spans="1:3" ht="16" x14ac:dyDescent="0.2">
      <c r="A34" s="22" t="s">
        <v>221</v>
      </c>
      <c r="B34" s="6" t="s">
        <v>222</v>
      </c>
      <c r="C34" s="26" t="s">
        <v>223</v>
      </c>
    </row>
    <row r="35" spans="1:3" ht="16" x14ac:dyDescent="0.2">
      <c r="A35" s="22" t="s">
        <v>33</v>
      </c>
      <c r="B35" s="6" t="s">
        <v>224</v>
      </c>
      <c r="C35" s="26" t="s">
        <v>225</v>
      </c>
    </row>
    <row r="36" spans="1:3" ht="16" x14ac:dyDescent="0.2">
      <c r="A36" s="22" t="s">
        <v>34</v>
      </c>
      <c r="B36" s="6" t="s">
        <v>226</v>
      </c>
      <c r="C36" s="26" t="s">
        <v>227</v>
      </c>
    </row>
    <row r="37" spans="1:3" ht="16" x14ac:dyDescent="0.2">
      <c r="A37" s="22" t="s">
        <v>35</v>
      </c>
      <c r="B37" s="6" t="s">
        <v>228</v>
      </c>
      <c r="C37" s="26" t="s">
        <v>187</v>
      </c>
    </row>
    <row r="38" spans="1:3" ht="16" x14ac:dyDescent="0.2">
      <c r="A38" s="22" t="s">
        <v>229</v>
      </c>
      <c r="B38" s="8" t="s">
        <v>230</v>
      </c>
      <c r="C38" s="24" t="s">
        <v>231</v>
      </c>
    </row>
    <row r="39" spans="1:3" ht="16" x14ac:dyDescent="0.2">
      <c r="A39" s="22" t="s">
        <v>37</v>
      </c>
      <c r="B39" s="6" t="s">
        <v>232</v>
      </c>
      <c r="C39" s="26" t="s">
        <v>233</v>
      </c>
    </row>
    <row r="40" spans="1:3" ht="16" x14ac:dyDescent="0.2">
      <c r="A40" s="22" t="s">
        <v>38</v>
      </c>
      <c r="B40" s="6" t="s">
        <v>234</v>
      </c>
      <c r="C40" s="26" t="s">
        <v>235</v>
      </c>
    </row>
    <row r="41" spans="1:3" ht="16" x14ac:dyDescent="0.2">
      <c r="A41" s="22" t="s">
        <v>39</v>
      </c>
      <c r="B41" s="6" t="s">
        <v>236</v>
      </c>
      <c r="C41" s="26" t="s">
        <v>237</v>
      </c>
    </row>
    <row r="42" spans="1:3" ht="17" thickBot="1" x14ac:dyDescent="0.25">
      <c r="A42" s="25" t="s">
        <v>40</v>
      </c>
      <c r="B42" s="12" t="s">
        <v>238</v>
      </c>
      <c r="C42" s="13" t="s">
        <v>239</v>
      </c>
    </row>
    <row r="43" spans="1:3" ht="16" x14ac:dyDescent="0.2">
      <c r="A43" s="34" t="s">
        <v>42</v>
      </c>
      <c r="B43" s="28" t="s">
        <v>240</v>
      </c>
      <c r="C43" s="27" t="s">
        <v>187</v>
      </c>
    </row>
    <row r="44" spans="1:3" ht="16" x14ac:dyDescent="0.2">
      <c r="A44" s="35" t="s">
        <v>43</v>
      </c>
      <c r="B44" s="6" t="s">
        <v>241</v>
      </c>
      <c r="C44" s="26" t="s">
        <v>242</v>
      </c>
    </row>
    <row r="45" spans="1:3" ht="16" x14ac:dyDescent="0.2">
      <c r="A45" s="35" t="s">
        <v>243</v>
      </c>
      <c r="B45" s="18" t="s">
        <v>244</v>
      </c>
      <c r="C45" s="26" t="s">
        <v>245</v>
      </c>
    </row>
    <row r="46" spans="1:3" ht="16" x14ac:dyDescent="0.2">
      <c r="A46" s="35" t="s">
        <v>45</v>
      </c>
      <c r="B46" s="6" t="s">
        <v>246</v>
      </c>
      <c r="C46" s="26" t="s">
        <v>247</v>
      </c>
    </row>
    <row r="47" spans="1:3" ht="16" x14ac:dyDescent="0.2">
      <c r="A47" s="35" t="s">
        <v>248</v>
      </c>
      <c r="B47" s="6" t="s">
        <v>249</v>
      </c>
      <c r="C47" s="26" t="s">
        <v>205</v>
      </c>
    </row>
    <row r="48" spans="1:3" ht="16" x14ac:dyDescent="0.2">
      <c r="A48" s="35" t="s">
        <v>47</v>
      </c>
      <c r="B48" s="6" t="s">
        <v>250</v>
      </c>
      <c r="C48" s="26" t="s">
        <v>251</v>
      </c>
    </row>
    <row r="49" spans="1:3" ht="16" x14ac:dyDescent="0.2">
      <c r="A49" s="35" t="s">
        <v>48</v>
      </c>
      <c r="B49" s="6" t="s">
        <v>252</v>
      </c>
      <c r="C49" s="26" t="s">
        <v>207</v>
      </c>
    </row>
    <row r="50" spans="1:3" ht="16" x14ac:dyDescent="0.2">
      <c r="A50" s="35" t="s">
        <v>49</v>
      </c>
      <c r="B50" s="6" t="s">
        <v>253</v>
      </c>
      <c r="C50" s="26" t="s">
        <v>207</v>
      </c>
    </row>
    <row r="51" spans="1:3" ht="16" x14ac:dyDescent="0.2">
      <c r="A51" s="35" t="s">
        <v>50</v>
      </c>
      <c r="B51" s="6" t="s">
        <v>254</v>
      </c>
      <c r="C51" s="26" t="s">
        <v>207</v>
      </c>
    </row>
    <row r="52" spans="1:3" ht="16" x14ac:dyDescent="0.2">
      <c r="A52" s="35" t="s">
        <v>51</v>
      </c>
      <c r="B52" s="6" t="s">
        <v>210</v>
      </c>
      <c r="C52" s="26" t="s">
        <v>211</v>
      </c>
    </row>
    <row r="53" spans="1:3" ht="16" x14ac:dyDescent="0.2">
      <c r="A53" s="35" t="s">
        <v>52</v>
      </c>
      <c r="B53" s="6" t="s">
        <v>212</v>
      </c>
      <c r="C53" s="26" t="s">
        <v>211</v>
      </c>
    </row>
    <row r="54" spans="1:3" ht="16" x14ac:dyDescent="0.2">
      <c r="A54" s="35" t="s">
        <v>53</v>
      </c>
      <c r="B54" s="6" t="s">
        <v>213</v>
      </c>
      <c r="C54" s="26" t="s">
        <v>211</v>
      </c>
    </row>
    <row r="55" spans="1:3" ht="16" x14ac:dyDescent="0.2">
      <c r="A55" s="35" t="s">
        <v>54</v>
      </c>
      <c r="B55" s="6" t="s">
        <v>255</v>
      </c>
      <c r="C55" s="26" t="s">
        <v>256</v>
      </c>
    </row>
    <row r="56" spans="1:3" ht="16" x14ac:dyDescent="0.2">
      <c r="A56" s="35" t="s">
        <v>55</v>
      </c>
      <c r="B56" s="6" t="s">
        <v>257</v>
      </c>
      <c r="C56" s="26" t="s">
        <v>216</v>
      </c>
    </row>
    <row r="57" spans="1:3" ht="16" x14ac:dyDescent="0.2">
      <c r="A57" s="36" t="s">
        <v>258</v>
      </c>
      <c r="B57" s="6" t="s">
        <v>259</v>
      </c>
      <c r="C57" s="26" t="s">
        <v>260</v>
      </c>
    </row>
    <row r="58" spans="1:3" ht="16" x14ac:dyDescent="0.2">
      <c r="A58" s="36" t="s">
        <v>57</v>
      </c>
      <c r="B58" s="6" t="s">
        <v>261</v>
      </c>
      <c r="C58" s="26" t="s">
        <v>218</v>
      </c>
    </row>
    <row r="59" spans="1:3" ht="16" x14ac:dyDescent="0.2">
      <c r="A59" s="36" t="s">
        <v>58</v>
      </c>
      <c r="B59" s="9" t="s">
        <v>262</v>
      </c>
      <c r="C59" s="29" t="s">
        <v>220</v>
      </c>
    </row>
    <row r="60" spans="1:3" ht="16" x14ac:dyDescent="0.2">
      <c r="A60" s="36" t="s">
        <v>59</v>
      </c>
      <c r="B60" s="6" t="s">
        <v>263</v>
      </c>
      <c r="C60" s="26" t="s">
        <v>223</v>
      </c>
    </row>
    <row r="61" spans="1:3" ht="16" x14ac:dyDescent="0.2">
      <c r="A61" s="36" t="s">
        <v>60</v>
      </c>
      <c r="B61" s="6" t="s">
        <v>224</v>
      </c>
      <c r="C61" s="26" t="s">
        <v>225</v>
      </c>
    </row>
    <row r="62" spans="1:3" ht="16" x14ac:dyDescent="0.2">
      <c r="A62" s="36" t="s">
        <v>61</v>
      </c>
      <c r="B62" s="6" t="s">
        <v>264</v>
      </c>
      <c r="C62" s="26" t="s">
        <v>227</v>
      </c>
    </row>
    <row r="63" spans="1:3" ht="16" x14ac:dyDescent="0.2">
      <c r="A63" s="36" t="s">
        <v>62</v>
      </c>
      <c r="B63" s="6" t="s">
        <v>265</v>
      </c>
      <c r="C63" s="26" t="s">
        <v>187</v>
      </c>
    </row>
    <row r="64" spans="1:3" ht="16" x14ac:dyDescent="0.2">
      <c r="A64" s="36" t="s">
        <v>63</v>
      </c>
      <c r="B64" s="8" t="s">
        <v>266</v>
      </c>
      <c r="C64" s="24" t="s">
        <v>231</v>
      </c>
    </row>
    <row r="65" spans="1:3" ht="16" x14ac:dyDescent="0.2">
      <c r="A65" s="36" t="s">
        <v>64</v>
      </c>
      <c r="B65" s="6" t="s">
        <v>267</v>
      </c>
      <c r="C65" s="26" t="s">
        <v>233</v>
      </c>
    </row>
    <row r="66" spans="1:3" ht="16" x14ac:dyDescent="0.2">
      <c r="A66" s="36" t="s">
        <v>65</v>
      </c>
      <c r="B66" s="6" t="s">
        <v>236</v>
      </c>
      <c r="C66" s="26" t="s">
        <v>237</v>
      </c>
    </row>
    <row r="67" spans="1:3" ht="17" thickBot="1" x14ac:dyDescent="0.25">
      <c r="A67" s="40" t="s">
        <v>66</v>
      </c>
      <c r="B67" s="12" t="s">
        <v>238</v>
      </c>
      <c r="C67" s="13" t="s">
        <v>239</v>
      </c>
    </row>
    <row r="68" spans="1:3" ht="16" x14ac:dyDescent="0.2">
      <c r="A68" s="37" t="s">
        <v>67</v>
      </c>
      <c r="B68" s="28" t="s">
        <v>268</v>
      </c>
      <c r="C68" s="27" t="s">
        <v>269</v>
      </c>
    </row>
    <row r="69" spans="1:3" ht="16" x14ac:dyDescent="0.2">
      <c r="A69" s="38" t="s">
        <v>68</v>
      </c>
      <c r="B69" s="6" t="s">
        <v>270</v>
      </c>
      <c r="C69" s="26"/>
    </row>
    <row r="70" spans="1:3" ht="16" x14ac:dyDescent="0.2">
      <c r="A70" s="38" t="s">
        <v>271</v>
      </c>
      <c r="B70" s="6" t="s">
        <v>280</v>
      </c>
      <c r="C70" s="26" t="s">
        <v>185</v>
      </c>
    </row>
    <row r="71" spans="1:3" ht="17" thickBot="1" x14ac:dyDescent="0.25">
      <c r="A71" s="39" t="s">
        <v>272</v>
      </c>
      <c r="B71" s="12" t="s">
        <v>280</v>
      </c>
      <c r="C71" s="13" t="s">
        <v>185</v>
      </c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Extraction</vt:lpstr>
      <vt:lpstr>CodeBook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Etienne Fischer</cp:lastModifiedBy>
  <cp:revision/>
  <dcterms:created xsi:type="dcterms:W3CDTF">2026-09-26T07:55:14Z</dcterms:created>
  <dcterms:modified xsi:type="dcterms:W3CDTF">2026-10-31T10:17:04Z</dcterms:modified>
  <cp:category/>
  <cp:contentStatus/>
</cp:coreProperties>
</file>